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f41896c83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说明" sheetId="1" r:id="Rd636fbb8f5ed46c4"/>
    <x:sheet xmlns:r="http://schemas.openxmlformats.org/officeDocument/2006/relationships" name="指标口径_v2" sheetId="2" r:id="R9526bac7f5b44c64"/>
    <x:sheet xmlns:r="http://schemas.openxmlformats.org/officeDocument/2006/relationships" name="分类字典" sheetId="3" r:id="Re64b10c47b0c46fc"/>
    <x:sheet xmlns:r="http://schemas.openxmlformats.org/officeDocument/2006/relationships" name="变更记录" sheetId="4" r:id="R61c7404873f94cf2"/>
    <x:sheet xmlns:r="http://schemas.openxmlformats.org/officeDocument/2006/relationships" name="GEE首批任务" sheetId="5" r:id="Rfd5c39b77aa34bc5"/>
    <x:sheet xmlns:r="http://schemas.openxmlformats.org/officeDocument/2006/relationships" name="时间口径" sheetId="6" r:id="Rc7690964597a4e78"/>
    <x:sheet xmlns:r="http://schemas.openxmlformats.org/officeDocument/2006/relationships" name="运行配置" sheetId="7" r:id="Rf968f378ee264885"/>
    <x:sheet xmlns:r="http://schemas.openxmlformats.org/officeDocument/2006/relationships" name="蓝绿空间_NDVI口径" sheetId="10" r:id="R419405a5440342c3"/>
    <x:sheet xmlns:r="http://schemas.openxmlformats.org/officeDocument/2006/relationships" name="GEE任务状态_v2_3" sheetId="11" r:id="R11d49775111145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0"/>
    <x:numFmt numFmtId="202" formatCode="0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8"/>
      <x:color rgb="FFFFFFFF"/>
      <x:name val="Aptos"/>
    </x:font>
    <x:font>
      <x:b/>
      <x:sz val="11"/>
      <x:color rgb="FF17365D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1F7A8C"/>
      <x:name val="Carlito"/>
    </x:font>
    <x:font>
      <x:b/>
      <x:sz val="11"/>
      <x:color rgb="FF385723"/>
      <x:name val="Aptos"/>
    </x:font>
    <x:font>
      <x:b/>
      <x:sz val="11"/>
      <x:color rgb="FF1F7A8C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7A8C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DEFE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DEFEF"/>
      </x:patternFill>
    </x:fill>
    <x:fill>
      <x:patternFill patternType="solid">
        <x:fgColor rgb="FF1F7A8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DEFEF"/>
      </x:patternFill>
    </x:fill>
    <x:fill>
      <x:patternFill patternType="solid">
        <x:fgColor rgb="FF1F7A8C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2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202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horizontal="center" vertical="top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9" fillId="9" borderId="5" xfId="0" applyNumberFormat="1" applyFont="1" applyFill="1" applyBorder="1" applyAlignment="1">
      <x:alignment vertical="center" wrapText="1"/>
    </x:xf>
    <x:xf numFmtId="0" fontId="9" fillId="9" borderId="6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wrapText="1"/>
    </x:xf>
    <x:xf numFmtId="0" fontId="9" fillId="13" borderId="5" xfId="0" applyNumberFormat="1" applyFont="1" applyFill="1" applyBorder="1" applyAlignment="1">
      <x:alignment vertical="center" wrapText="1"/>
    </x:xf>
    <x:xf numFmtId="0" fontId="9" fillId="13" borderId="6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0" fillId="15" borderId="0" xfId="0" applyNumberFormat="1" applyFont="1" applyFill="1" applyBorder="1"/>
    <x:xf numFmtId="0" fontId="10" fillId="15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</x:cellXfs>
  <x:cellStyles count="1">
    <x:cellStyle name="Normal" xfId="0"/>
  </x:cellStyles>
  <x:dxfs count="18">
    <x:dxf>
      <x:font>
        <x:b/>
        <x:color rgb="FF17365D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1F7A8C"/>
      </x:font>
      <x:fill>
        <x:patternFill>
          <x:bgColor rgb="FFDDEFEF"/>
        </x:patternFill>
      </x:fill>
    </x:dxf>
    <x:dxf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ill>
        <x:patternFill>
          <x:bgColor rgb="FFEAF4F8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7A5A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9EAF7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ill>
        <x:patternFill patternType="solid">
          <x:bgColor rgb="FFEAF4F8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7A5A00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a2a621b744963" /><Relationship Type="http://schemas.openxmlformats.org/officeDocument/2006/relationships/theme" Target="/xl/theme/theme1.xml" Id="Rd1ac5fecc7ef46f4" /><Relationship Type="http://schemas.openxmlformats.org/officeDocument/2006/relationships/sharedStrings" Target="/xl/sharedStrings.xml" Id="Rf20002ccf5364141" /><Relationship Type="http://schemas.openxmlformats.org/officeDocument/2006/relationships/worksheet" Target="/xl/worksheets/sheet1.xml" Id="Rd636fbb8f5ed46c4" /><Relationship Type="http://schemas.openxmlformats.org/officeDocument/2006/relationships/worksheet" Target="/xl/worksheets/sheet2.xml" Id="R9526bac7f5b44c64" /><Relationship Type="http://schemas.openxmlformats.org/officeDocument/2006/relationships/worksheet" Target="/xl/worksheets/sheet3.xml" Id="Re64b10c47b0c46fc" /><Relationship Type="http://schemas.openxmlformats.org/officeDocument/2006/relationships/worksheet" Target="/xl/worksheets/sheet4.xml" Id="R61c7404873f94cf2" /><Relationship Type="http://schemas.openxmlformats.org/officeDocument/2006/relationships/worksheet" Target="/xl/worksheets/sheet5.xml" Id="Rfd5c39b77aa34bc5" /><Relationship Type="http://schemas.openxmlformats.org/officeDocument/2006/relationships/worksheet" Target="/xl/worksheets/sheet6.xml" Id="Rc7690964597a4e78" /><Relationship Type="http://schemas.openxmlformats.org/officeDocument/2006/relationships/worksheet" Target="/xl/worksheets/sheet7.xml" Id="Rf968f378ee264885" /><Relationship Type="http://schemas.openxmlformats.org/officeDocument/2006/relationships/worksheet" Target="/xl/worksheets/sheet8.xml" Id="R419405a5440342c3" /><Relationship Type="http://schemas.openxmlformats.org/officeDocument/2006/relationships/worksheet" Target="/xl/worksheets/sheet9.xml" Id="R11d49775111145c1" /></Relationships>
</file>

<file path=xl/tables/table1.xml><?xml version="1.0" encoding="utf-8"?>
<x:table xmlns:x="http://schemas.openxmlformats.org/spreadsheetml/2006/main" id="1" name="IndicatorBoundaryRegistry" displayName="IndicatorBoundaryRegistry" ref="A1:W86" headerRowCount="1" totalsRowCount="0" totalsRowShown="0">
  <x:tableColumns count="23">
    <x:tableColumn id="1" name="一级指标"/>
    <x:tableColumn id="2" name="一级权重"/>
    <x:tableColumn id="3" name="二级指标"/>
    <x:tableColumn id="4" name="二级权重"/>
    <x:tableColumn id="5" name="ID"/>
    <x:tableColumn id="6" name="三级指标"/>
    <x:tableColumn id="7" name="三级权重"/>
    <x:tableColumn id="8" name="最终权重"/>
    <x:tableColumn id="9" name="当前数据状态"/>
    <x:tableColumn id="10" name="源数据形态"/>
    <x:tableColumn id="11" name="输入边界"/>
    <x:tableColumn id="12" name="输出边界"/>
    <x:tableColumn id="13" name="输出数据集"/>
    <x:tableColumn id="14" name="汇总算子"/>
    <x:tableColumn id="15" name="行政分配权重"/>
    <x:tableColumn id="16" name="计算／汇总公式"/>
    <x:tableColumn id="17" name="物理边界处理"/>
    <x:tableColumn id="18" name="行政边界处理"/>
    <x:tableColumn id="19" name="双边界输出规则"/>
    <x:tableColumn id="20" name="口径状态"/>
    <x:tableColumn id="21" name="待确认事项"/>
    <x:tableColumn id="22" name="指标版本"/>
    <x:tableColumn id="23" name="边界版本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undaryCodeDictionary" displayName="BoundaryCodeDictionary" ref="A1:E13" headerRowCount="1" totalsRowCount="0" totalsRowShown="0">
  <x:tableColumns count="5">
    <x:tableColumn id="1" name="类别"/>
    <x:tableColumn id="2" name="代码"/>
    <x:tableColumn id="3" name="定义"/>
    <x:tableColumn id="4" name="计算规则"/>
    <x:tableColumn id="5" name="输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dicatorVersionChangeLog" displayName="IndicatorVersionChangeLog" ref="A1:F3" headerRowCount="1" totalsRowCount="0" totalsRowShown="0">
  <x:tableColumns count="6">
    <x:tableColumn id="1" name="版本"/>
    <x:tableColumn id="2" name="日期"/>
    <x:tableColumn id="3" name="变更类型"/>
    <x:tableColumn id="4" name="变更内容"/>
    <x:tableColumn id="5" name="依据"/>
    <x:tableColumn id="6" name="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eeBatch01TaskRegistry" displayName="GeeBatch01TaskRegistry" ref="A1:Q7" headerRowCount="1" totalsRowCount="0" totalsRowShown="0">
  <x:tableColumns count="17">
    <x:tableColumn id="1" name="批次任务ID"/>
    <x:tableColumn id="2" name="指标ID"/>
    <x:tableColumn id="3" name="指标名称"/>
    <x:tableColumn id="4" name="边界"/>
    <x:tableColumn id="5" name="拟输出字段"/>
    <x:tableColumn id="6" name="GEE数据集／资产ID"/>
    <x:tableColumn id="7" name="波段"/>
    <x:tableColumn id="8" name="观测年份／期间"/>
    <x:tableColumn id="9" name="是否预测"/>
    <x:tableColumn id="10" name="原生分辨率"/>
    <x:tableColumn id="11" name="建议统计尺度"/>
    <x:tableColumn id="12" name="汇总算子"/>
    <x:tableColumn id="13" name="计算公式"/>
    <x:tableColumn id="14" name="质量控制字段"/>
    <x:tableColumn id="15" name="当前状态"/>
    <x:tableColumn id="16" name="运行前待确认"/>
    <x:tableColumn id="17" name="官方数据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imePolicyRegistry" displayName="TimePolicyRegistry" ref="A1:E8" headerRowCount="1" totalsRowCount="0" totalsRowShown="0">
  <x:tableColumns count="5">
    <x:tableColumn id="1" name="规则代码"/>
    <x:tableColumn id="2" name="规则名称"/>
    <x:tableColumn id="3" name="正式定义"/>
    <x:tableColumn id="4" name="本批应用"/>
    <x:tableColumn id="5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eeRunConfiguration" displayName="GeeRunConfiguration" ref="A1:D14" headerRowCount="1" totalsRowCount="0" totalsRowShown="0">
  <x:tableColumns count="4">
    <x:tableColumn id="1" name="配置项"/>
    <x:tableColumn id="2" name="当前值／建议值"/>
    <x:tableColumn id="3" name="状态"/>
    <x:tableColumn id="4" name="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lueGreenNdviRegistry" displayName="BlueGreenNdviRegistry" ref="A3:P17" headerRowCount="1" totalsRowCount="0" totalsRowShown="0">
  <x:tableColumns count="16">
    <x:tableColumn id="1" name="指标ID"/>
    <x:tableColumn id="2" name="指标名称"/>
    <x:tableColumn id="3" name="变量角色"/>
    <x:tableColumn id="4" name="标准输出字段"/>
    <x:tableColumn id="5" name="单位"/>
    <x:tableColumn id="6" name="入库级别"/>
    <x:tableColumn id="7" name="边界"/>
    <x:tableColumn id="8" name="数据集"/>
    <x:tableColumn id="9" name="版本"/>
    <x:tableColumn id="10" name="年份"/>
    <x:tableColumn id="11" name="原始分辨率"/>
    <x:tableColumn id="12" name="分类/掩膜"/>
    <x:tableColumn id="13" name="汇总公式"/>
    <x:tableColumn id="14" name="质量控制"/>
    <x:tableColumn id="15" name="GEE批次"/>
    <x:tableColumn id="16" name="当前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eeTaskRegistryV23" displayName="GeeTaskRegistryV23" ref="A2:H7" headerRowCount="1" totalsRowCount="0" totalsRowShown="0">
  <x:tableColumns count="8">
    <x:tableColumn id="1" name="批次"/>
    <x:tableColumn id="2" name="内容"/>
    <x:tableColumn id="3" name="Python任务ID"/>
    <x:tableColumn id="4" name="输出资产"/>
    <x:tableColumn id="5" name="边界版本"/>
    <x:tableColumn id="6" name="提交状态"/>
    <x:tableColumn id="7" name="验收要求"/>
    <x:tableColumn id="8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c471b9d44342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b3bd51e2a240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23751171ab4b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ec05faaa8d4e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29cac7f6484c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b4a04f7fcc45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18d93b5f504a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55ee79e54344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1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8" t="str">
        <x:v>Global City Index 指标口径与双边界计算说明</x:v>
      </x:c>
      <x:c r="B1" s="38"/>
      <x:c r="C1" s="38"/>
      <x:c r="D1" s="38"/>
      <x:c r="E1" s="38"/>
      <x:c r="F1" s="38"/>
      <x:c r="G1" s="38"/>
      <x:c r="H1" s="38"/>
    </x:row>
    <x:row r="2" ht="30" customHeight="1">
      <x:c r="A2" s="38"/>
      <x:c r="B2" s="38"/>
      <x:c r="C2" s="38"/>
      <x:c r="D2" s="38"/>
      <x:c r="E2" s="38"/>
      <x:c r="F2" s="38"/>
      <x:c r="G2" s="38"/>
      <x:c r="H2" s="38"/>
    </x:row>
    <x:row r="3">
      <x:c r="A3" s="39" t="str">
        <x:v>指标版本</x:v>
      </x:c>
      <x:c r="B3" s="40" t="str">
        <x:v>GCI-IND-v2.3-GEE-B05</x:v>
      </x:c>
      <x:c r="C3" s="40"/>
      <x:c r="D3" s="41" t="str">
        <x:v>本版本的核心规则</x:v>
      </x:c>
      <x:c r="E3" s="41"/>
      <x:c r="F3" s="41"/>
      <x:c r="G3" s="41"/>
      <x:c r="H3" s="42"/>
    </x:row>
    <x:row r="4" ht="34" customHeight="1">
      <x:c r="A4" s="43" t="str">
        <x:v>版本日期</x:v>
      </x:c>
      <x:c r="B4" s="44" t="str">
        <x:v>2026-08-27</x:v>
      </x:c>
      <x:c r="C4" s="44"/>
      <x:c r="D4" s="44" t="str">
        <x:v>1</x:v>
      </x:c>
      <x:c r="E4" s="44" t="str">
        <x:v>源数据为 PHYSICAL：只输出物理边界结果（*_PHY）。</x:v>
      </x:c>
      <x:c r="F4" s="44"/>
      <x:c r="G4" s="44"/>
      <x:c r="H4" s="45"/>
    </x:row>
    <x:row r="5" ht="34" customHeight="1">
      <x:c r="A5" s="43" t="str">
        <x:v>来源框架</x:v>
      </x:c>
      <x:c r="B5" s="44" t="str">
        <x:v>汇报/index.xlsx（2026-04-23）</x:v>
      </x:c>
      <x:c r="C5" s="44"/>
      <x:c r="D5" s="44" t="str">
        <x:v>2</x:v>
      </x:c>
      <x:c r="E5" s="44" t="str">
        <x:v>源数据为 ADMIN：只输出行政边界结果（*_ADM）。</x:v>
      </x:c>
      <x:c r="F5" s="44"/>
      <x:c r="G5" s="44"/>
      <x:c r="H5" s="45"/>
    </x:row>
    <x:row r="6" ht="34" customHeight="1">
      <x:c r="A6" s="43" t="str">
        <x:v>城市边界版本</x:v>
      </x:c>
      <x:c r="B6" s="44" t="str">
        <x:v>GC100-20260827-V1.0.1</x:v>
      </x:c>
      <x:c r="C6" s="44"/>
      <x:c r="D6" s="44" t="str">
        <x:v>3</x:v>
      </x:c>
      <x:c r="E6" s="44" t="str">
        <x:v>源数据为 DUAL：使用完全相同的数据、年份与算法，分别对两套边界计算，输出 *_PHY 和 *_ADM。</x:v>
      </x:c>
      <x:c r="F6" s="44"/>
      <x:c r="G6" s="44"/>
      <x:c r="H6" s="45"/>
    </x:row>
    <x:row r="7" ht="34" customHeight="1">
      <x:c r="A7" s="43" t="str">
        <x:v>指标数量</x:v>
      </x:c>
      <x:c r="B7" s="44" t="n">
        <x:v>85</x:v>
      </x:c>
      <x:c r="C7" s="44"/>
      <x:c r="D7" s="44" t="str">
        <x:v>4</x:v>
      </x:c>
      <x:c r="E7" s="44" t="str">
        <x:v>不再设置 HYBRID 边界类型；派生指标继承其输入数据的边界可用性。</x:v>
      </x:c>
      <x:c r="F7" s="44"/>
      <x:c r="G7" s="44"/>
      <x:c r="H7" s="45"/>
    </x:row>
    <x:row r="8" ht="34" customHeight="1">
      <x:c r="A8" s="43" t="str">
        <x:v>物理边界指标</x:v>
      </x:c>
      <x:c r="B8" s="44" t="n">
        <x:f>COUNTIF('指标口径_v2'!$K$2:$K$86,"PHYSICAL")</x:f>
        <x:v>8</x:v>
      </x:c>
      <x:c r="C8" s="44"/>
      <x:c r="D8" s="44" t="n">
        <x:v>5</x:v>
      </x:c>
      <x:c r="E8" s="44" t="str">
        <x:v>物理值与行政值禁止相加、平均或相互替代；它们是两个平行观测结果。</x:v>
      </x:c>
      <x:c r="F8" s="44" t="str">
        <x:v>物理值与行政值禁止相加、平均或相互替代；它们是两个平行观测结果。</x:v>
      </x:c>
      <x:c r="G8" s="44" t="str">
        <x:v>物理值与行政值禁止相加、平均或相互替代；它们是两个平行观测结果。</x:v>
      </x:c>
      <x:c r="H8" s="45" t="str">
        <x:v>物理值与行政值禁止相加、平均或相互替代；它们是两个平行观测结果。</x:v>
      </x:c>
    </x:row>
    <x:row r="9">
      <x:c r="A9" s="43" t="str">
        <x:v>行政边界指标</x:v>
      </x:c>
      <x:c r="B9" s="44" t="n">
        <x:f>COUNTIF('指标口径_v2'!$K$2:$K$86,"ADMIN")</x:f>
        <x:v>37</x:v>
      </x:c>
      <x:c r="C9" s="44"/>
      <x:c r="D9" s="108" t="n">
        <x:v>6</x:v>
      </x:c>
      <x:c r="E9" s="108" t="str">
        <x:v>蓝绿空间面积、覆盖率、NDVI、变化量与人口暴露均作为正式指标入库；原始统计尽量完整，指数筛选与权重另行版本化。</x:v>
      </x:c>
      <x:c r="F9" s="108" t="str">
        <x:v>蓝绿空间面积、覆盖率、NDVI、变化量与人口暴露均作为正式指标入库；原始统计尽量完整，指数筛选与权重另行版本化。</x:v>
      </x:c>
      <x:c r="G9" s="108" t="str">
        <x:v>蓝绿空间面积、覆盖率、NDVI、变化量与人口暴露均作为正式指标入库；原始统计尽量完整，指数筛选与权重另行版本化。</x:v>
      </x:c>
      <x:c r="H9" s="109" t="str">
        <x:v>蓝绿空间面积、覆盖率、NDVI、变化量与人口暴露均作为正式指标入库；原始统计尽量完整，指数筛选与权重另行版本化。</x:v>
      </x:c>
    </x:row>
    <x:row r="10">
      <x:c r="A10" s="43" t="str">
        <x:v>双边界指标</x:v>
      </x:c>
      <x:c r="B10" s="44" t="n">
        <x:f>COUNTIF('指标口径_v2'!$K$2:$K$86,"DUAL")</x:f>
        <x:v>40</x:v>
      </x:c>
      <x:c r="C10" s="44"/>
      <x:c r="D10" s="44"/>
      <x:c r="E10" s="44"/>
      <x:c r="F10" s="44"/>
      <x:c r="G10" s="44"/>
      <x:c r="H10" s="45"/>
    </x:row>
    <x:row r="11">
      <x:c r="A11" s="46"/>
      <x:c r="B11" s="44"/>
      <x:c r="C11" s="44"/>
      <x:c r="D11" s="44"/>
      <x:c r="E11" s="44"/>
      <x:c r="F11" s="44"/>
      <x:c r="G11" s="44"/>
      <x:c r="H11" s="45"/>
    </x:row>
    <x:row r="12">
      <x:c r="A12" s="47" t="str">
        <x:v>汇总规则</x:v>
      </x:c>
      <x:c r="B12" s="48"/>
      <x:c r="C12" s="48"/>
      <x:c r="D12" s="48"/>
      <x:c r="E12" s="48"/>
      <x:c r="F12" s="48"/>
      <x:c r="G12" s="48"/>
      <x:c r="H12" s="49"/>
    </x:row>
    <x:row r="13">
      <x:c r="A13" s="50" t="str">
        <x:v>总量型</x:v>
      </x:c>
      <x:c r="B13" s="51" t="str">
        <x:v>面积、人口、GDP、设施数量</x:v>
      </x:c>
      <x:c r="C13" s="51" t="str">
        <x:v>SUM／DEDUP_COUNT</x:v>
      </x:c>
      <x:c r="D13" s="44" t="str">
        <x:v>按边界求和；点数据按唯一ID去重</x:v>
      </x:c>
      <x:c r="E13" s="44"/>
      <x:c r="F13" s="44"/>
      <x:c r="G13" s="44"/>
      <x:c r="H13" s="45"/>
    </x:row>
    <x:row r="14">
      <x:c r="A14" s="50" t="str">
        <x:v>均值型</x:v>
      </x:c>
      <x:c r="B14" s="51" t="str">
        <x:v>温度、PM2.5、建筑高度</x:v>
      </x:c>
      <x:c r="C14" s="51" t="str">
        <x:v>WEIGHTED_MEAN</x:v>
      </x:c>
      <x:c r="D14" s="44" t="str">
        <x:v>明确面积、人口或建筑基底权重</x:v>
      </x:c>
      <x:c r="E14" s="44"/>
      <x:c r="F14" s="44"/>
      <x:c r="G14" s="44"/>
      <x:c r="H14" s="45"/>
    </x:row>
    <x:row r="15">
      <x:c r="A15" s="50" t="str">
        <x:v>比例型</x:v>
      </x:c>
      <x:c r="B15" s="51" t="str">
        <x:v>人口密度、老龄化、可再生能源</x:v>
      </x:c>
      <x:c r="C15" s="51" t="str">
        <x:v>RATIO_RECALC</x:v>
      </x:c>
      <x:c r="D15" s="44" t="str">
        <x:v>先汇总分子与分母，再重新计算比例</x:v>
      </x:c>
      <x:c r="E15" s="44"/>
      <x:c r="F15" s="44"/>
      <x:c r="G15" s="44"/>
      <x:c r="H15" s="45"/>
    </x:row>
    <x:row r="16">
      <x:c r="A16" s="50" t="str">
        <x:v>增长型</x:v>
      </x:c>
      <x:c r="B16" s="51" t="str">
        <x:v>GDP、人口、夜光增长</x:v>
      </x:c>
      <x:c r="C16" s="51" t="str">
        <x:v>GROWTH_RECALC</x:v>
      </x:c>
      <x:c r="D16" s="44" t="str">
        <x:v>固定同一边界后计算两个时期变化</x:v>
      </x:c>
      <x:c r="E16" s="44"/>
      <x:c r="F16" s="44"/>
      <x:c r="G16" s="44"/>
      <x:c r="H16" s="45"/>
    </x:row>
    <x:row r="17">
      <x:c r="A17" s="50" t="str">
        <x:v>可达性</x:v>
      </x:c>
      <x:c r="B17" s="51" t="str">
        <x:v>15分钟生活圈、机场可达性</x:v>
      </x:c>
      <x:c r="C17" s="51" t="str">
        <x:v>POP_WEIGHTED</x:v>
      </x:c>
      <x:c r="D17" s="44" t="str">
        <x:v>以边界内人口作为出发点权重</x:v>
      </x:c>
      <x:c r="E17" s="44"/>
      <x:c r="F17" s="44"/>
      <x:c r="G17" s="44"/>
      <x:c r="H17" s="45"/>
    </x:row>
    <x:row r="18">
      <x:c r="A18" s="52" t="str">
        <x:v>双边界</x:v>
      </x:c>
      <x:c r="B18" s="53" t="str">
        <x:v>可空间裁剪或具有两套可靠来源的数据</x:v>
      </x:c>
      <x:c r="C18" s="53" t="str">
        <x:v>RUN_TWICE</x:v>
      </x:c>
      <x:c r="D18" s="54" t="str">
        <x:v>两套结果独立保存，不合并</x:v>
      </x:c>
      <x:c r="E18" s="54"/>
      <x:c r="F18" s="54"/>
      <x:c r="G18" s="54"/>
      <x:c r="H18" s="55"/>
    </x:row>
  </x:sheetData>
  <x:mergeCells>
    <x:mergeCell ref="A1:H2"/>
    <x:mergeCell ref="D3:H3"/>
    <x:mergeCell ref="E4:H4"/>
    <x:mergeCell ref="E5:H5"/>
    <x:mergeCell ref="E6:H6"/>
    <x:mergeCell ref="E7:H7"/>
    <x:mergeCell ref="A12:H12"/>
    <x:mergeCell ref="D13:H13"/>
    <x:mergeCell ref="D14:H14"/>
    <x:mergeCell ref="D15:H15"/>
    <x:mergeCell ref="D16:H16"/>
    <x:mergeCell ref="D17:H17"/>
    <x:mergeCell ref="D18:H18"/>
    <x:mergeCell ref="E9:H9"/>
    <x:mergeCell ref="E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24" hidden="0" customWidth="1"/>
    <x:col min="4" max="4" width="10" hidden="0" customWidth="1"/>
    <x:col min="5" max="5" width="7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  <x:col min="10" max="10" width="26" hidden="0" customWidth="1"/>
    <x:col min="11" max="11" width="14" hidden="0" customWidth="1"/>
    <x:col min="12" max="12" width="14" hidden="0" customWidth="1"/>
    <x:col min="13" max="13" width="14" hidden="0" customWidth="1"/>
    <x:col min="14" max="14" width="22" hidden="0" customWidth="1"/>
    <x:col min="15" max="15" width="22" hidden="0" customWidth="1"/>
    <x:col min="16" max="16" width="38" hidden="0" customWidth="1"/>
    <x:col min="17" max="17" width="34" hidden="0" customWidth="1"/>
    <x:col min="18" max="18" width="34" hidden="0" customWidth="1"/>
    <x:col min="19" max="19" width="34" hidden="0" customWidth="1"/>
    <x:col min="20" max="20" width="22" hidden="0" customWidth="1"/>
    <x:col min="21" max="21" width="38" hidden="0" customWidth="1"/>
    <x:col min="22" max="22" width="24" hidden="0" customWidth="1"/>
    <x:col min="23" max="23" width="24" hidden="0" customWidth="1"/>
  </x:cols>
  <x:sheetData>
    <x:row r="1" ht="34" customHeight="1">
      <x:c r="A1" s="60" t="str">
        <x:v>一级指标</x:v>
      </x:c>
      <x:c r="B1" s="60" t="str">
        <x:v>一级权重</x:v>
      </x:c>
      <x:c r="C1" s="60" t="str">
        <x:v>二级指标</x:v>
      </x:c>
      <x:c r="D1" s="60" t="str">
        <x:v>二级权重</x:v>
      </x:c>
      <x:c r="E1" s="60" t="str">
        <x:v>ID</x:v>
      </x:c>
      <x:c r="F1" s="60" t="str">
        <x:v>三级指标</x:v>
      </x:c>
      <x:c r="G1" s="60" t="str">
        <x:v>三级权重</x:v>
      </x:c>
      <x:c r="H1" s="60" t="str">
        <x:v>最终权重</x:v>
      </x:c>
      <x:c r="I1" s="60" t="str">
        <x:v>当前数据状态</x:v>
      </x:c>
      <x:c r="J1" s="60" t="str">
        <x:v>源数据形态</x:v>
      </x:c>
      <x:c r="K1" s="60" t="str">
        <x:v>输入边界</x:v>
      </x:c>
      <x:c r="L1" s="60" t="str">
        <x:v>输出边界</x:v>
      </x:c>
      <x:c r="M1" s="60" t="str">
        <x:v>输出数据集</x:v>
      </x:c>
      <x:c r="N1" s="60" t="str">
        <x:v>汇总算子</x:v>
      </x:c>
      <x:c r="O1" s="60" t="str">
        <x:v>行政分配权重</x:v>
      </x:c>
      <x:c r="P1" s="60" t="str">
        <x:v>计算／汇总公式</x:v>
      </x:c>
      <x:c r="Q1" s="60" t="str">
        <x:v>物理边界处理</x:v>
      </x:c>
      <x:c r="R1" s="60" t="str">
        <x:v>行政边界处理</x:v>
      </x:c>
      <x:c r="S1" s="60" t="str">
        <x:v>双边界输出规则</x:v>
      </x:c>
      <x:c r="T1" s="60" t="str">
        <x:v>口径状态</x:v>
      </x:c>
      <x:c r="U1" s="60" t="str">
        <x:v>待确认事项</x:v>
      </x:c>
      <x:c r="V1" s="60" t="str">
        <x:v>指标版本</x:v>
      </x:c>
      <x:c r="W1" s="60" t="str">
        <x:v>边界版本</x:v>
      </x:c>
    </x:row>
    <x:row r="2" ht="48" customHeight="1">
      <x:c r="A2" s="69" t="str">
        <x:v>城市规模（Urban Scale）</x:v>
      </x:c>
      <x:c r="B2" s="70" t="n">
        <x:v>0.3</x:v>
      </x:c>
      <x:c r="C2" s="69" t="str">
        <x:v>用地规模（Land Use Scale）</x:v>
      </x:c>
      <x:c r="D2" s="70" t="n">
        <x:v>0.25</x:v>
      </x:c>
      <x:c r="E2" s="69" t="n">
        <x:v>1</x:v>
      </x:c>
      <x:c r="F2" s="69" t="str">
        <x:v>建成区面积（Built-up areas）</x:v>
      </x:c>
      <x:c r="G2" s="71" t="n">
        <x:v>0.22</x:v>
      </x:c>
      <x:c r="H2" s="71" t="n">
        <x:f>B2*D2*G2</x:f>
        <x:v>0.0165</x:v>
      </x:c>
      <x:c r="I2" s="72" t="n">
        <x:v>1</x:v>
      </x:c>
      <x:c r="J2" s="69" t="str">
        <x:v>BUILDING_RASTER</x:v>
      </x:c>
      <x:c r="K2" s="69" t="str">
        <x:v>PHYSICAL</x:v>
      </x:c>
      <x:c r="L2" s="69" t="str">
        <x:v>PHYSICAL</x:v>
      </x:c>
      <x:c r="M2" s="69" t="str">
        <x:v>PHY</x:v>
      </x:c>
      <x:c r="N2" s="69" t="str">
        <x:v>SUM</x:v>
      </x:c>
      <x:c r="O2" s="69" t="str">
        <x:v>NONE</x:v>
      </x:c>
      <x:c r="P2" s="69" t="str">
        <x:v>建成区像元面积求和：Σ(A_built_pixel)</x:v>
      </x:c>
      <x:c r="Q2" s="69" t="str">
        <x:v>在 city_100km_ultimate 最终物理城市边界内计算。</x:v>
      </x:c>
      <x:c r="R2" s="69" t="str">
        <x:v>不计算；除非后续版本将源数据升级为双边界。</x:v>
      </x:c>
      <x:c r="S2" s="69" t="str">
        <x:v>不适用。</x:v>
      </x:c>
      <x:c r="T2" s="69" t="str">
        <x:v>V2已定义</x:v>
      </x:c>
      <x:c r="U2" s="69" t="str">
        <x:v>明确建成区产品、年份及最小制图单元。</x:v>
      </x:c>
      <x:c r="V2" s="69" t="str">
        <x:v>GCI-IND-v2.3-GEE-B05</x:v>
      </x:c>
      <x:c r="W2" s="69" t="str">
        <x:v>GC100-20260827-V1.0.1</x:v>
      </x:c>
    </x:row>
    <x:row r="3" ht="48" customHeight="1">
      <x:c r="A3" s="69" t="str">
        <x:v>城市规模（Urban Scale）</x:v>
      </x:c>
      <x:c r="B3" s="70" t="n">
        <x:v>0.3</x:v>
      </x:c>
      <x:c r="C3" s="69" t="str">
        <x:v>用地规模（Land Use Scale）</x:v>
      </x:c>
      <x:c r="D3" s="70" t="n">
        <x:v>0.25</x:v>
      </x:c>
      <x:c r="E3" s="69" t="n">
        <x:v>2</x:v>
      </x:c>
      <x:c r="F3" s="69" t="str">
        <x:v>建筑高度（Building height）</x:v>
      </x:c>
      <x:c r="G3" s="71" t="n">
        <x:v>0.18</x:v>
      </x:c>
      <x:c r="H3" s="71" t="n">
        <x:f>B3*D3*G3</x:f>
        <x:v>0.0135</x:v>
      </x:c>
      <x:c r="I3" s="72" t="n">
        <x:v>1</x:v>
      </x:c>
      <x:c r="J3" s="69" t="str">
        <x:v>BUILDING_VECTOR</x:v>
      </x:c>
      <x:c r="K3" s="69" t="str">
        <x:v>PHYSICAL</x:v>
      </x:c>
      <x:c r="L3" s="69" t="str">
        <x:v>PHYSICAL</x:v>
      </x:c>
      <x:c r="M3" s="69" t="str">
        <x:v>PHY</x:v>
      </x:c>
      <x:c r="N3" s="69" t="str">
        <x:v>FOOTPRINT_WEIGHTED_MEAN</x:v>
      </x:c>
      <x:c r="O3" s="69" t="str">
        <x:v>NONE</x:v>
      </x:c>
      <x:c r="P3" s="69" t="str">
        <x:v>Σ(H_i×Footprint_i)/Σ(Footprint_i)</x:v>
      </x:c>
      <x:c r="Q3" s="69" t="str">
        <x:v>在 city_100km_ultimate 最终物理城市边界内计算。</x:v>
      </x:c>
      <x:c r="R3" s="69" t="str">
        <x:v>不计算；除非后续版本将源数据升级为双边界。</x:v>
      </x:c>
      <x:c r="S3" s="69" t="str">
        <x:v>不适用。</x:v>
      </x:c>
      <x:c r="T3" s="69" t="str">
        <x:v>V2已定义</x:v>
      </x:c>
      <x:c r="U3" s="69" t="str">
        <x:v>无建筑覆盖区域不参与高度均值。</x:v>
      </x:c>
      <x:c r="V3" s="69" t="str">
        <x:v>GCI-IND-v2.3-GEE-B05</x:v>
      </x:c>
      <x:c r="W3" s="69" t="str">
        <x:v>GC100-20260827-V1.0.1</x:v>
      </x:c>
    </x:row>
    <x:row r="4" ht="48" customHeight="1">
      <x:c r="A4" s="69" t="str">
        <x:v>城市规模（Urban Scale）</x:v>
      </x:c>
      <x:c r="B4" s="70" t="n">
        <x:v>0.3</x:v>
      </x:c>
      <x:c r="C4" s="69" t="str">
        <x:v>用地规模（Land Use Scale）</x:v>
      </x:c>
      <x:c r="D4" s="70" t="n">
        <x:v>0.25</x:v>
      </x:c>
      <x:c r="E4" s="69" t="n">
        <x:v>3</x:v>
      </x:c>
      <x:c r="F4" s="69" t="str">
        <x:v>建筑密度（Building density）</x:v>
      </x:c>
      <x:c r="G4" s="71" t="n">
        <x:v>0.2</x:v>
      </x:c>
      <x:c r="H4" s="71" t="n">
        <x:f>B4*D4*G4</x:f>
        <x:v>0.015</x:v>
      </x:c>
      <x:c r="I4" s="72" t="n">
        <x:v>1</x:v>
      </x:c>
      <x:c r="J4" s="69" t="str">
        <x:v>BUILDING_VECTOR</x:v>
      </x:c>
      <x:c r="K4" s="69" t="str">
        <x:v>PHYSICAL</x:v>
      </x:c>
      <x:c r="L4" s="69" t="str">
        <x:v>PHYSICAL</x:v>
      </x:c>
      <x:c r="M4" s="69" t="str">
        <x:v>PHY</x:v>
      </x:c>
      <x:c r="N4" s="69" t="str">
        <x:v>RATIO_RECALC</x:v>
      </x:c>
      <x:c r="O4" s="69" t="str">
        <x:v>NONE</x:v>
      </x:c>
      <x:c r="P4" s="69" t="str">
        <x:v>Σ(BuildingFootprint_i)/LandArea_boundary</x:v>
      </x:c>
      <x:c r="Q4" s="69" t="str">
        <x:v>在 city_100km_ultimate 最终物理城市边界内计算。</x:v>
      </x:c>
      <x:c r="R4" s="69" t="str">
        <x:v>不计算；除非后续版本将源数据升级为双边界。</x:v>
      </x:c>
      <x:c r="S4" s="69" t="str">
        <x:v>不适用。</x:v>
      </x:c>
      <x:c r="T4" s="69" t="str">
        <x:v>V2已定义</x:v>
      </x:c>
      <x:c r="U4" s="69" t="str">
        <x:v>统一陆地面积与水体掩膜。</x:v>
      </x:c>
      <x:c r="V4" s="69" t="str">
        <x:v>GCI-IND-v2.3-GEE-B05</x:v>
      </x:c>
      <x:c r="W4" s="69" t="str">
        <x:v>GC100-20260827-V1.0.1</x:v>
      </x:c>
    </x:row>
    <x:row r="5" ht="48" customHeight="1">
      <x:c r="A5" s="69" t="str">
        <x:v>城市规模（Urban Scale）</x:v>
      </x:c>
      <x:c r="B5" s="70" t="n">
        <x:v>0.3</x:v>
      </x:c>
      <x:c r="C5" s="69" t="str">
        <x:v>用地规模（Land Use Scale）</x:v>
      </x:c>
      <x:c r="D5" s="70" t="n">
        <x:v>0.25</x:v>
      </x:c>
      <x:c r="E5" s="69" t="n">
        <x:v>4</x:v>
      </x:c>
      <x:c r="F5" s="69" t="str">
        <x:v>建筑体积（Total volume）</x:v>
      </x:c>
      <x:c r="G5" s="71" t="n">
        <x:v>0.2</x:v>
      </x:c>
      <x:c r="H5" s="71" t="n">
        <x:f>B5*D5*G5</x:f>
        <x:v>0.015</x:v>
      </x:c>
      <x:c r="I5" s="72" t="n">
        <x:v>1</x:v>
      </x:c>
      <x:c r="J5" s="69" t="str">
        <x:v>BUILDING_VECTOR</x:v>
      </x:c>
      <x:c r="K5" s="69" t="str">
        <x:v>PHYSICAL</x:v>
      </x:c>
      <x:c r="L5" s="69" t="str">
        <x:v>PHYSICAL</x:v>
      </x:c>
      <x:c r="M5" s="69" t="str">
        <x:v>PHY</x:v>
      </x:c>
      <x:c r="N5" s="69" t="str">
        <x:v>SUM</x:v>
      </x:c>
      <x:c r="O5" s="69" t="str">
        <x:v>NONE</x:v>
      </x:c>
      <x:c r="P5" s="69" t="str">
        <x:v>Σ(BuildingFootprint_i×Height_i)</x:v>
      </x:c>
      <x:c r="Q5" s="69" t="str">
        <x:v>在 city_100km_ultimate 最终物理城市边界内计算。</x:v>
      </x:c>
      <x:c r="R5" s="69" t="str">
        <x:v>不计算；除非后续版本将源数据升级为双边界。</x:v>
      </x:c>
      <x:c r="S5" s="69" t="str">
        <x:v>不适用。</x:v>
      </x:c>
      <x:c r="T5" s="69" t="str">
        <x:v>V2已定义</x:v>
      </x:c>
      <x:c r="U5" s="69" t="str">
        <x:v>输出体积单位并记录高度缺失处理。</x:v>
      </x:c>
      <x:c r="V5" s="69" t="str">
        <x:v>GCI-IND-v2.3-GEE-B05</x:v>
      </x:c>
      <x:c r="W5" s="69" t="str">
        <x:v>GC100-20260827-V1.0.1</x:v>
      </x:c>
    </x:row>
    <x:row r="6" ht="48" customHeight="1">
      <x:c r="A6" s="69" t="str">
        <x:v>城市规模（Urban Scale）</x:v>
      </x:c>
      <x:c r="B6" s="70" t="n">
        <x:v>0.3</x:v>
      </x:c>
      <x:c r="C6" s="69" t="str">
        <x:v>用地规模（Land Use Scale）</x:v>
      </x:c>
      <x:c r="D6" s="70" t="n">
        <x:v>0.25</x:v>
      </x:c>
      <x:c r="E6" s="69" t="n">
        <x:v>5</x:v>
      </x:c>
      <x:c r="F6" s="69" t="str">
        <x:v>容积率（Volume Fraction）</x:v>
      </x:c>
      <x:c r="G6" s="71" t="n">
        <x:v>0.2</x:v>
      </x:c>
      <x:c r="H6" s="71" t="n">
        <x:f>B6*D6*G6</x:f>
        <x:v>0.015</x:v>
      </x:c>
      <x:c r="I6" s="72" t="n">
        <x:v>1</x:v>
      </x:c>
      <x:c r="J6" s="69" t="str">
        <x:v>BUILDING_VECTOR</x:v>
      </x:c>
      <x:c r="K6" s="69" t="str">
        <x:v>PHYSICAL</x:v>
      </x:c>
      <x:c r="L6" s="69" t="str">
        <x:v>PHYSICAL</x:v>
      </x:c>
      <x:c r="M6" s="69" t="str">
        <x:v>PHY</x:v>
      </x:c>
      <x:c r="N6" s="69" t="str">
        <x:v>RATIO_RECALC</x:v>
      </x:c>
      <x:c r="O6" s="69" t="str">
        <x:v>NONE</x:v>
      </x:c>
      <x:c r="P6" s="69" t="str">
        <x:v>Σ(FloorArea_i)/LandArea_boundary</x:v>
      </x:c>
      <x:c r="Q6" s="69" t="str">
        <x:v>在 city_100km_ultimate 最终物理城市边界内计算。</x:v>
      </x:c>
      <x:c r="R6" s="69" t="str">
        <x:v>不计算；除非后续版本将源数据升级为双边界。</x:v>
      </x:c>
      <x:c r="S6" s="69" t="str">
        <x:v>不适用。</x:v>
      </x:c>
      <x:c r="T6" s="69" t="str">
        <x:v>V2已定义</x:v>
      </x:c>
      <x:c r="U6" s="69" t="str">
        <x:v>楼层面积估计方法需要统一。</x:v>
      </x:c>
      <x:c r="V6" s="69" t="str">
        <x:v>GCI-IND-v2.3-GEE-B05</x:v>
      </x:c>
      <x:c r="W6" s="69" t="str">
        <x:v>GC100-20260827-V1.0.1</x:v>
      </x:c>
    </x:row>
    <x:row r="7" ht="48" customHeight="1">
      <x:c r="A7" s="69" t="str">
        <x:v>城市规模（Urban Scale）</x:v>
      </x:c>
      <x:c r="B7" s="70" t="n">
        <x:v>0.3</x:v>
      </x:c>
      <x:c r="C7" s="69" t="str">
        <x:v>经济规模（Economic Scale）</x:v>
      </x:c>
      <x:c r="D7" s="70" t="n">
        <x:v>0.55</x:v>
      </x:c>
      <x:c r="E7" s="69" t="n">
        <x:v>6</x:v>
      </x:c>
      <x:c r="F7" s="69" t="str">
        <x:v>夜光强度（mean nighttime light）</x:v>
      </x:c>
      <x:c r="G7" s="71" t="n">
        <x:v>0.12</x:v>
      </x:c>
      <x:c r="H7" s="71" t="n">
        <x:f>B7*D7*G7</x:f>
        <x:v>0.0198</x:v>
      </x:c>
      <x:c r="I7" s="72" t="n">
        <x:v>1</x:v>
      </x:c>
      <x:c r="J7" s="69" t="str">
        <x:v>REMOTE_SENSING_RASTER</x:v>
      </x:c>
      <x:c r="K7" s="69" t="str">
        <x:v>PHYSICAL</x:v>
      </x:c>
      <x:c r="L7" s="69" t="str">
        <x:v>PHYSICAL</x:v>
      </x:c>
      <x:c r="M7" s="69" t="str">
        <x:v>PHY</x:v>
      </x:c>
      <x:c r="N7" s="69" t="str">
        <x:v>AREA_WEIGHTED_MEAN</x:v>
      </x:c>
      <x:c r="O7" s="69" t="str">
        <x:v>NONE</x:v>
      </x:c>
      <x:c r="P7" s="69" t="str">
        <x:v>Σ(NTL_i×Area_i)/Σ(ValidArea_i)</x:v>
      </x:c>
      <x:c r="Q7" s="69" t="str">
        <x:v>在 city_100km_ultimate 最终物理城市边界内计算。</x:v>
      </x:c>
      <x:c r="R7" s="69" t="str">
        <x:v>不计算；除非后续版本将源数据升级为双边界。</x:v>
      </x:c>
      <x:c r="S7" s="69" t="str">
        <x:v>不适用。</x:v>
      </x:c>
      <x:c r="T7" s="69" t="str">
        <x:v>V2已定义</x:v>
      </x:c>
      <x:c r="U7" s="69" t="str">
        <x:v>统一夜光产品、去饱和及背景噪声处理。</x:v>
      </x:c>
      <x:c r="V7" s="69" t="str">
        <x:v>GCI-IND-v2.3-GEE-B05</x:v>
      </x:c>
      <x:c r="W7" s="69" t="str">
        <x:v>GC100-20260827-V1.0.1</x:v>
      </x:c>
    </x:row>
    <x:row r="8" ht="48" customHeight="1">
      <x:c r="A8" s="69" t="str">
        <x:v>城市规模（Urban Scale）</x:v>
      </x:c>
      <x:c r="B8" s="70" t="n">
        <x:v>0.3</x:v>
      </x:c>
      <x:c r="C8" s="69" t="str">
        <x:v>经济规模（Economic Scale）</x:v>
      </x:c>
      <x:c r="D8" s="70" t="n">
        <x:v>0.55</x:v>
      </x:c>
      <x:c r="E8" s="69" t="n">
        <x:v>7</x:v>
      </x:c>
      <x:c r="F8" s="69" t="str">
        <x:v>夜光强度增长率（Nighttime light growth rate）</x:v>
      </x:c>
      <x:c r="G8" s="71" t="n">
        <x:v>0.1</x:v>
      </x:c>
      <x:c r="H8" s="71" t="n">
        <x:f>B8*D8*G8</x:f>
        <x:v>0.0165</x:v>
      </x:c>
      <x:c r="I8" s="72" t="n">
        <x:v>1</x:v>
      </x:c>
      <x:c r="J8" s="69" t="str">
        <x:v>REMOTE_SENSING_TIME_SERIES</x:v>
      </x:c>
      <x:c r="K8" s="69" t="str">
        <x:v>PHYSICAL</x:v>
      </x:c>
      <x:c r="L8" s="69" t="str">
        <x:v>PHYSICAL</x:v>
      </x:c>
      <x:c r="M8" s="69" t="str">
        <x:v>PHY</x:v>
      </x:c>
      <x:c r="N8" s="69" t="str">
        <x:v>GROWTH_RECALC</x:v>
      </x:c>
      <x:c r="O8" s="69" t="str">
        <x:v>NONE</x:v>
      </x:c>
      <x:c r="P8" s="69" t="str">
        <x:v>(NTL_t1−NTL_t0)/NTL_t0×100%</x:v>
      </x:c>
      <x:c r="Q8" s="69" t="str">
        <x:v>在 city_100km_ultimate 最终物理城市边界内计算。</x:v>
      </x:c>
      <x:c r="R8" s="69" t="str">
        <x:v>不计算；除非后续版本将源数据升级为双边界。</x:v>
      </x:c>
      <x:c r="S8" s="69" t="str">
        <x:v>不适用。</x:v>
      </x:c>
      <x:c r="T8" s="69" t="str">
        <x:v>V2已定义</x:v>
      </x:c>
      <x:c r="U8" s="69" t="str">
        <x:v>两期必须使用同产品及同物理边界版本。</x:v>
      </x:c>
      <x:c r="V8" s="69" t="str">
        <x:v>GCI-IND-v2.3-GEE-B05</x:v>
      </x:c>
      <x:c r="W8" s="69" t="str">
        <x:v>GC100-20260827-V1.0.1</x:v>
      </x:c>
    </x:row>
    <x:row r="9" ht="48" customHeight="1">
      <x:c r="A9" s="69" t="str">
        <x:v>城市规模（Urban Scale）</x:v>
      </x:c>
      <x:c r="B9" s="70" t="n">
        <x:v>0.3</x:v>
      </x:c>
      <x:c r="C9" s="69" t="str">
        <x:v>经济规模（Economic Scale）</x:v>
      </x:c>
      <x:c r="D9" s="70" t="n">
        <x:v>0.55</x:v>
      </x:c>
      <x:c r="E9" s="69" t="n">
        <x:v>8</x:v>
      </x:c>
      <x:c r="F9" s="69" t="str">
        <x:v>国民生产总值（Nominal GDP）</x:v>
      </x:c>
      <x:c r="G9" s="71" t="n">
        <x:v>0.16</x:v>
      </x:c>
      <x:c r="H9" s="71" t="n">
        <x:f>B9*D9*G9</x:f>
        <x:v>0.026400000000000003</x:v>
      </x:c>
      <x:c r="I9" s="72" t="n">
        <x:v>1</x:v>
      </x:c>
      <x:c r="J9" s="69" t="str">
        <x:v>GRIDDED_GDP_OR_ADMIN_STAT</x:v>
      </x:c>
      <x:c r="K9" s="69" t="str">
        <x:v>DUAL</x:v>
      </x:c>
      <x:c r="L9" s="69" t="str">
        <x:v>DUAL</x:v>
      </x:c>
      <x:c r="M9" s="69" t="str">
        <x:v>PHY + ADM</x:v>
      </x:c>
      <x:c r="N9" s="69" t="str">
        <x:v>SUM</x:v>
      </x:c>
      <x:c r="O9" s="69" t="str">
        <x:v>NTL_EMPLOYMENT</x:v>
      </x:c>
      <x:c r="P9" s="69" t="str">
        <x:v>物理值=Σ(GDP_grid)；行政值=Σ(GDP_admin×经济权重)</x:v>
      </x:c>
      <x:c r="Q9" s="69" t="str">
        <x:v>在 city_100km_ultimate 物理边界内独立计算。</x:v>
      </x:c>
      <x:c r="R9" s="69" t="str">
        <x:v>在对应行政片段/行政统计口径内独立计算。</x:v>
      </x:c>
      <x:c r="S9" s="69" t="str">
        <x:v>同一源数据、同一年度、同一算法分别运行两次，输出 *_PHY 与 *_ADM；两值不相加、不平均。</x:v>
      </x:c>
      <x:c r="T9" s="69" t="str">
        <x:v>V2已定义</x:v>
      </x:c>
      <x:c r="U9" s="69" t="str">
        <x:v>双边界GDP来源和币价基年必须一致。</x:v>
      </x:c>
      <x:c r="V9" s="69" t="str">
        <x:v>GCI-IND-v2.3-GEE-B05</x:v>
      </x:c>
      <x:c r="W9" s="69" t="str">
        <x:v>GC100-20260827-V1.0.1</x:v>
      </x:c>
    </x:row>
    <x:row r="10" ht="48" customHeight="1">
      <x:c r="A10" s="69" t="str">
        <x:v>城市规模（Urban Scale）</x:v>
      </x:c>
      <x:c r="B10" s="70" t="n">
        <x:v>0.3</x:v>
      </x:c>
      <x:c r="C10" s="69" t="str">
        <x:v>经济规模（Economic Scale）</x:v>
      </x:c>
      <x:c r="D10" s="70" t="n">
        <x:v>0.55</x:v>
      </x:c>
      <x:c r="E10" s="69" t="n">
        <x:v>9</x:v>
      </x:c>
      <x:c r="F10" s="69" t="str">
        <x:v>经济增长率（GDP Growth Rate）</x:v>
      </x:c>
      <x:c r="G10" s="71" t="n">
        <x:v>0.12</x:v>
      </x:c>
      <x:c r="H10" s="71" t="n">
        <x:f>B10*D10*G10</x:f>
        <x:v>0.0198</x:v>
      </x:c>
      <x:c r="I10" s="72" t="n">
        <x:v>1</x:v>
      </x:c>
      <x:c r="J10" s="69" t="str">
        <x:v>GDP_TIME_SERIES</x:v>
      </x:c>
      <x:c r="K10" s="69" t="str">
        <x:v>DUAL</x:v>
      </x:c>
      <x:c r="L10" s="69" t="str">
        <x:v>DUAL</x:v>
      </x:c>
      <x:c r="M10" s="69" t="str">
        <x:v>PHY + ADM</x:v>
      </x:c>
      <x:c r="N10" s="69" t="str">
        <x:v>GROWTH_RECALC</x:v>
      </x:c>
      <x:c r="O10" s="69" t="str">
        <x:v>NTL_EMPLOYMENT</x:v>
      </x:c>
      <x:c r="P10" s="69" t="str">
        <x:v>(GDP_t1−GDP_t0)/GDP_t0×100%（两套边界分别计算）</x:v>
      </x:c>
      <x:c r="Q10" s="69" t="str">
        <x:v>在 city_100km_ultimate 物理边界内独立计算。</x:v>
      </x:c>
      <x:c r="R10" s="69" t="str">
        <x:v>在对应行政片段/行政统计口径内独立计算。</x:v>
      </x:c>
      <x:c r="S10" s="69" t="str">
        <x:v>同一源数据、同一年度、同一算法分别运行两次，输出 *_PHY 与 *_ADM；两值不相加、不平均。</x:v>
      </x:c>
      <x:c r="T10" s="69" t="str">
        <x:v>V2已定义</x:v>
      </x:c>
      <x:c r="U10" s="69" t="str">
        <x:v>不得混用不同时期边界。</x:v>
      </x:c>
      <x:c r="V10" s="69" t="str">
        <x:v>GCI-IND-v2.3-GEE-B05</x:v>
      </x:c>
      <x:c r="W10" s="69" t="str">
        <x:v>GC100-20260827-V1.0.1</x:v>
      </x:c>
    </x:row>
    <x:row r="11" ht="48" customHeight="1">
      <x:c r="A11" s="69" t="str">
        <x:v>城市规模（Urban Scale）</x:v>
      </x:c>
      <x:c r="B11" s="70" t="n">
        <x:v>0.3</x:v>
      </x:c>
      <x:c r="C11" s="69" t="str">
        <x:v>经济规模（Economic Scale）</x:v>
      </x:c>
      <x:c r="D11" s="70" t="n">
        <x:v>0.55</x:v>
      </x:c>
      <x:c r="E11" s="69" t="n">
        <x:v>10</x:v>
      </x:c>
      <x:c r="F11" s="69" t="str">
        <x:v>人均生产总值（GDP per Capita）</x:v>
      </x:c>
      <x:c r="G11" s="71" t="n">
        <x:v>0.16</x:v>
      </x:c>
      <x:c r="H11" s="71" t="n">
        <x:f>B11*D11*G11</x:f>
        <x:v>0.026400000000000003</x:v>
      </x:c>
      <x:c r="I11" s="72" t="n">
        <x:v>1</x:v>
      </x:c>
      <x:c r="J11" s="69" t="str">
        <x:v>GDP_AND_POPULATION</x:v>
      </x:c>
      <x:c r="K11" s="69" t="str">
        <x:v>DUAL</x:v>
      </x:c>
      <x:c r="L11" s="69" t="str">
        <x:v>DUAL</x:v>
      </x:c>
      <x:c r="M11" s="69" t="str">
        <x:v>PHY + ADM</x:v>
      </x:c>
      <x:c r="N11" s="69" t="str">
        <x:v>RATIO_RECALC</x:v>
      </x:c>
      <x:c r="O11" s="69" t="str">
        <x:v>MATCHED_SUPPORT</x:v>
      </x:c>
      <x:c r="P11" s="69" t="str">
        <x:v>GDP_boundary/Population_boundary</x:v>
      </x:c>
      <x:c r="Q11" s="69" t="str">
        <x:v>在 city_100km_ultimate 物理边界内独立计算。</x:v>
      </x:c>
      <x:c r="R11" s="69" t="str">
        <x:v>在对应行政片段/行政统计口径内独立计算。</x:v>
      </x:c>
      <x:c r="S11" s="69" t="str">
        <x:v>同一源数据、同一年度、同一算法分别运行两次，输出 *_PHY 与 *_ADM；两值不相加、不平均。</x:v>
      </x:c>
      <x:c r="T11" s="69" t="str">
        <x:v>V2已定义</x:v>
      </x:c>
      <x:c r="U11" s="69" t="str">
        <x:v>GDP和人口必须来自同一边界、同一年。</x:v>
      </x:c>
      <x:c r="V11" s="69" t="str">
        <x:v>GCI-IND-v2.3-GEE-B05</x:v>
      </x:c>
      <x:c r="W11" s="69" t="str">
        <x:v>GC100-20260827-V1.0.1</x:v>
      </x:c>
    </x:row>
    <x:row r="12" ht="48" customHeight="1">
      <x:c r="A12" s="69" t="str">
        <x:v>城市规模（Urban Scale）</x:v>
      </x:c>
      <x:c r="B12" s="70" t="n">
        <x:v>0.3</x:v>
      </x:c>
      <x:c r="C12" s="69" t="str">
        <x:v>经济规模（Economic Scale）</x:v>
      </x:c>
      <x:c r="D12" s="70" t="n">
        <x:v>0.55</x:v>
      </x:c>
      <x:c r="E12" s="69" t="n">
        <x:v>11</x:v>
      </x:c>
      <x:c r="F12" s="69" t="str">
        <x:v>公司总部数量（Corporate headquarters）</x:v>
      </x:c>
      <x:c r="G12" s="71" t="n">
        <x:v>0.12</x:v>
      </x:c>
      <x:c r="H12" s="71" t="n">
        <x:f>B12*D12*G12</x:f>
        <x:v>0.0198</x:v>
      </x:c>
      <x:c r="I12" s="72" t="n">
        <x:v>0</x:v>
      </x:c>
      <x:c r="J12" s="69" t="str">
        <x:v>GEOCODED_POINT</x:v>
      </x:c>
      <x:c r="K12" s="69" t="str">
        <x:v>DUAL</x:v>
      </x:c>
      <x:c r="L12" s="69" t="str">
        <x:v>DUAL</x:v>
      </x:c>
      <x:c r="M12" s="69" t="str">
        <x:v>PHY + ADM</x:v>
      </x:c>
      <x:c r="N12" s="69" t="str">
        <x:v>DEDUP_COUNT</x:v>
      </x:c>
      <x:c r="O12" s="69" t="str">
        <x:v>POINT_IN_POLYGON</x:v>
      </x:c>
      <x:c r="P12" s="69" t="str">
        <x:v>CountDistinct(Headquarter_ID within boundary)</x:v>
      </x:c>
      <x:c r="Q12" s="69" t="str">
        <x:v>在 city_100km_ultimate 物理边界内独立计算。</x:v>
      </x:c>
      <x:c r="R12" s="69" t="str">
        <x:v>在对应行政片段/行政统计口径内独立计算。</x:v>
      </x:c>
      <x:c r="S12" s="69" t="str">
        <x:v>同一源数据、同一年度、同一算法分别运行两次，输出 *_PHY 与 *_ADM；两值不相加、不平均。</x:v>
      </x:c>
      <x:c r="T12" s="69" t="str">
        <x:v>建议口径／待数据源确认</x:v>
      </x:c>
      <x:c r="U12" s="69" t="str">
        <x:v>确定集团总部与分支机构的去重规则。</x:v>
      </x:c>
      <x:c r="V12" s="69" t="str">
        <x:v>GCI-IND-v2.3-GEE-B05</x:v>
      </x:c>
      <x:c r="W12" s="69" t="str">
        <x:v>GC100-20260827-V1.0.1</x:v>
      </x:c>
    </x:row>
    <x:row r="13" ht="48" customHeight="1">
      <x:c r="A13" s="69" t="str">
        <x:v>城市规模（Urban Scale）</x:v>
      </x:c>
      <x:c r="B13" s="70" t="n">
        <x:v>0.3</x:v>
      </x:c>
      <x:c r="C13" s="69" t="str">
        <x:v>经济规模（Economic Scale）</x:v>
      </x:c>
      <x:c r="D13" s="70" t="n">
        <x:v>0.55</x:v>
      </x:c>
      <x:c r="E13" s="69" t="n">
        <x:v>12</x:v>
      </x:c>
      <x:c r="F13" s="69" t="str">
        <x:v>股市总价值（Stock Market Capitalization）</x:v>
      </x:c>
      <x:c r="G13" s="71" t="n">
        <x:v>0.12</x:v>
      </x:c>
      <x:c r="H13" s="71" t="n">
        <x:f>B13*D13*G13</x:f>
        <x:v>0.0198</x:v>
      </x:c>
      <x:c r="I13" s="72" t="n">
        <x:v>0</x:v>
      </x:c>
      <x:c r="J13" s="69" t="str">
        <x:v>CITY_LEVEL_FINANCIAL_STAT</x:v>
      </x:c>
      <x:c r="K13" s="69" t="str">
        <x:v>ADMIN</x:v>
      </x:c>
      <x:c r="L13" s="69" t="str">
        <x:v>ADMIN</x:v>
      </x:c>
      <x:c r="M13" s="69" t="str">
        <x:v>ADM</x:v>
      </x:c>
      <x:c r="N13" s="69" t="str">
        <x:v>DIRECT_OR_SUM</x:v>
      </x:c>
      <x:c r="O13" s="69" t="str">
        <x:v>DIRECT_CITY_RECORD</x:v>
      </x:c>
      <x:c r="P13" s="69" t="str">
        <x:v>Σ(上市公司市值，按总部城市归属)</x:v>
      </x:c>
      <x:c r="Q13" s="69" t="str">
        <x:v>不计算；不得用面积比例伪造物理边界统计值。</x:v>
      </x:c>
      <x:c r="R13" s="69" t="str">
        <x:v>按 assigned_admin_fragments 及指标适用权重聚合，率值先汇总分子分母后重算。</x:v>
      </x:c>
      <x:c r="S13" s="69" t="str">
        <x:v>不适用。</x:v>
      </x:c>
      <x:c r="T13" s="69" t="str">
        <x:v>建议口径／待数据源确认</x:v>
      </x:c>
      <x:c r="U13" s="69" t="str">
        <x:v>交易所所在地与公司总部所在地口径需二选一。</x:v>
      </x:c>
      <x:c r="V13" s="69" t="str">
        <x:v>GCI-IND-v2.3-GEE-B05</x:v>
      </x:c>
      <x:c r="W13" s="69" t="str">
        <x:v>GC100-20260827-V1.0.1</x:v>
      </x:c>
    </x:row>
    <x:row r="14" ht="48" customHeight="1">
      <x:c r="A14" s="69" t="str">
        <x:v>城市规模（Urban Scale）</x:v>
      </x:c>
      <x:c r="B14" s="70" t="n">
        <x:v>0.3</x:v>
      </x:c>
      <x:c r="C14" s="69" t="str">
        <x:v>经济规模（Economic Scale）</x:v>
      </x:c>
      <x:c r="D14" s="70" t="n">
        <x:v>0.55</x:v>
      </x:c>
      <x:c r="E14" s="69" t="n">
        <x:v>13</x:v>
      </x:c>
      <x:c r="F14" s="69" t="str">
        <x:v>世界500强数量（World's Top 500 Companies）</x:v>
      </x:c>
      <x:c r="G14" s="71" t="n">
        <x:v>0.1</x:v>
      </x:c>
      <x:c r="H14" s="71" t="n">
        <x:f>B14*D14*G14</x:f>
        <x:v>0.0165</x:v>
      </x:c>
      <x:c r="I14" s="72" t="n">
        <x:v>0</x:v>
      </x:c>
      <x:c r="J14" s="69" t="str">
        <x:v>GEOCODED_POINT</x:v>
      </x:c>
      <x:c r="K14" s="69" t="str">
        <x:v>DUAL</x:v>
      </x:c>
      <x:c r="L14" s="69" t="str">
        <x:v>DUAL</x:v>
      </x:c>
      <x:c r="M14" s="69" t="str">
        <x:v>PHY + ADM</x:v>
      </x:c>
      <x:c r="N14" s="69" t="str">
        <x:v>DEDUP_COUNT</x:v>
      </x:c>
      <x:c r="O14" s="69" t="str">
        <x:v>POINT_IN_POLYGON</x:v>
      </x:c>
      <x:c r="P14" s="69" t="str">
        <x:v>CountDistinct(Fortune500_HQ_ID within boundary)</x:v>
      </x:c>
      <x:c r="Q14" s="69" t="str">
        <x:v>在 city_100km_ultimate 物理边界内独立计算。</x:v>
      </x:c>
      <x:c r="R14" s="69" t="str">
        <x:v>在对应行政片段/行政统计口径内独立计算。</x:v>
      </x:c>
      <x:c r="S14" s="69" t="str">
        <x:v>同一源数据、同一年度、同一算法分别运行两次，输出 *_PHY 与 *_ADM；两值不相加、不平均。</x:v>
      </x:c>
      <x:c r="T14" s="69" t="str">
        <x:v>建议口径／待数据源确认</x:v>
      </x:c>
      <x:c r="U14" s="69" t="str">
        <x:v>采用总部地址并固定榜单年份。</x:v>
      </x:c>
      <x:c r="V14" s="69" t="str">
        <x:v>GCI-IND-v2.3-GEE-B05</x:v>
      </x:c>
      <x:c r="W14" s="69" t="str">
        <x:v>GC100-20260827-V1.0.1</x:v>
      </x:c>
    </x:row>
    <x:row r="15" ht="48" customHeight="1">
      <x:c r="A15" s="69" t="str">
        <x:v>城市规模（Urban Scale）</x:v>
      </x:c>
      <x:c r="B15" s="70" t="n">
        <x:v>0.3</x:v>
      </x:c>
      <x:c r="C15" s="69" t="str">
        <x:v>人口规模（Population Scale）</x:v>
      </x:c>
      <x:c r="D15" s="70" t="n">
        <x:v>0.2</x:v>
      </x:c>
      <x:c r="E15" s="69" t="n">
        <x:v>14</x:v>
      </x:c>
      <x:c r="F15" s="69" t="str">
        <x:v>人口总量（Total population, unit: people）</x:v>
      </x:c>
      <x:c r="G15" s="71" t="n">
        <x:v>0.16</x:v>
      </x:c>
      <x:c r="H15" s="71" t="n">
        <x:f>B15*D15*G15</x:f>
        <x:v>0.0096</x:v>
      </x:c>
      <x:c r="I15" s="72" t="n">
        <x:v>1</x:v>
      </x:c>
      <x:c r="J15" s="69" t="str">
        <x:v>GRIDDED_POPULATION_AND_CENSUS</x:v>
      </x:c>
      <x:c r="K15" s="69" t="str">
        <x:v>DUAL</x:v>
      </x:c>
      <x:c r="L15" s="69" t="str">
        <x:v>DUAL</x:v>
      </x:c>
      <x:c r="M15" s="69" t="str">
        <x:v>PHY + ADM</x:v>
      </x:c>
      <x:c r="N15" s="69" t="str">
        <x:v>SUM</x:v>
      </x:c>
      <x:c r="O15" s="69" t="str">
        <x:v>POPULATION</x:v>
      </x:c>
      <x:c r="P15" s="69" t="str">
        <x:v>物理值=Σ(Pop_grid)；行政值=Σ(Pop_admin×人口权重)</x:v>
      </x:c>
      <x:c r="Q15" s="69" t="str">
        <x:v>在 city_100km_ultimate 物理边界内独立计算。</x:v>
      </x:c>
      <x:c r="R15" s="69" t="str">
        <x:v>在对应行政片段/行政统计口径内独立计算。</x:v>
      </x:c>
      <x:c r="S15" s="69" t="str">
        <x:v>同一源数据、同一年度、同一算法分别运行两次，输出 *_PHY 与 *_ADM；两值不相加、不平均。</x:v>
      </x:c>
      <x:c r="T15" s="69" t="str">
        <x:v>V2已定义</x:v>
      </x:c>
      <x:c r="U15" s="69" t="str">
        <x:v>栅格人口需与统计人口年份对齐。</x:v>
      </x:c>
      <x:c r="V15" s="69" t="str">
        <x:v>GCI-IND-v2.3-GEE-B05</x:v>
      </x:c>
      <x:c r="W15" s="69" t="str">
        <x:v>GC100-20260827-V1.0.1</x:v>
      </x:c>
    </x:row>
    <x:row r="16" ht="48" customHeight="1">
      <x:c r="A16" s="69" t="str">
        <x:v>城市规模（Urban Scale）</x:v>
      </x:c>
      <x:c r="B16" s="70" t="n">
        <x:v>0.3</x:v>
      </x:c>
      <x:c r="C16" s="69" t="str">
        <x:v>人口规模（Population Scale）</x:v>
      </x:c>
      <x:c r="D16" s="70" t="n">
        <x:v>0.2</x:v>
      </x:c>
      <x:c r="E16" s="69" t="n">
        <x:v>15</x:v>
      </x:c>
      <x:c r="F16" s="69" t="str">
        <x:v>人口密度（Mean population density: persons/km）</x:v>
      </x:c>
      <x:c r="G16" s="71" t="n">
        <x:v>0.14</x:v>
      </x:c>
      <x:c r="H16" s="71" t="n">
        <x:f>B16*D16*G16</x:f>
        <x:v>0.008400000000000001</x:v>
      </x:c>
      <x:c r="I16" s="72" t="n">
        <x:v>1</x:v>
      </x:c>
      <x:c r="J16" s="69" t="str">
        <x:v>POPULATION_AND_GEOMETRY</x:v>
      </x:c>
      <x:c r="K16" s="69" t="str">
        <x:v>DUAL</x:v>
      </x:c>
      <x:c r="L16" s="69" t="str">
        <x:v>DUAL</x:v>
      </x:c>
      <x:c r="M16" s="69" t="str">
        <x:v>PHY + ADM</x:v>
      </x:c>
      <x:c r="N16" s="69" t="str">
        <x:v>RATIO_RECALC</x:v>
      </x:c>
      <x:c r="O16" s="69" t="str">
        <x:v>POPULATION</x:v>
      </x:c>
      <x:c r="P16" s="69" t="str">
        <x:v>Population_boundary/LandArea_boundary</x:v>
      </x:c>
      <x:c r="Q16" s="69" t="str">
        <x:v>在 city_100km_ultimate 物理边界内独立计算。</x:v>
      </x:c>
      <x:c r="R16" s="69" t="str">
        <x:v>在对应行政片段/行政统计口径内独立计算。</x:v>
      </x:c>
      <x:c r="S16" s="69" t="str">
        <x:v>同一源数据、同一年度、同一算法分别运行两次，输出 *_PHY 与 *_ADM；两值不相加、不平均。</x:v>
      </x:c>
      <x:c r="T16" s="69" t="str">
        <x:v>V2已定义</x:v>
      </x:c>
      <x:c r="U16" s="69" t="str">
        <x:v>统一使用陆地面积，单位 persons/km²。</x:v>
      </x:c>
      <x:c r="V16" s="69" t="str">
        <x:v>GCI-IND-v2.3-GEE-B05</x:v>
      </x:c>
      <x:c r="W16" s="69" t="str">
        <x:v>GC100-20260827-V1.0.1</x:v>
      </x:c>
    </x:row>
    <x:row r="17" ht="48" customHeight="1">
      <x:c r="A17" s="69" t="str">
        <x:v>城市规模（Urban Scale）</x:v>
      </x:c>
      <x:c r="B17" s="70" t="n">
        <x:v>0.3</x:v>
      </x:c>
      <x:c r="C17" s="69" t="str">
        <x:v>人口规模（Population Scale）</x:v>
      </x:c>
      <x:c r="D17" s="70" t="n">
        <x:v>0.2</x:v>
      </x:c>
      <x:c r="E17" s="69" t="n">
        <x:v>16</x:v>
      </x:c>
      <x:c r="F17" s="69" t="str">
        <x:v>年龄结构指数（Age profile）</x:v>
      </x:c>
      <x:c r="G17" s="71" t="n">
        <x:v>0.12</x:v>
      </x:c>
      <x:c r="H17" s="71" t="n">
        <x:f>B17*D17*G17</x:f>
        <x:v>0.0072</x:v>
      </x:c>
      <x:c r="I17" s="72" t="n">
        <x:v>1</x:v>
      </x:c>
      <x:c r="J17" s="69" t="str">
        <x:v>ADMIN_DEMOGRAPHIC_STAT</x:v>
      </x:c>
      <x:c r="K17" s="69" t="str">
        <x:v>ADMIN</x:v>
      </x:c>
      <x:c r="L17" s="69" t="str">
        <x:v>ADMIN</x:v>
      </x:c>
      <x:c r="M17" s="69" t="str">
        <x:v>ADM</x:v>
      </x:c>
      <x:c r="N17" s="69" t="str">
        <x:v>POP_WEIGHTED_COMPOSITE</x:v>
      </x:c>
      <x:c r="O17" s="69" t="str">
        <x:v>POPULATION</x:v>
      </x:c>
      <x:c r="P17" s="69" t="str">
        <x:v>按年龄组人口汇总后重算年龄结构指数</x:v>
      </x:c>
      <x:c r="Q17" s="69" t="str">
        <x:v>不计算；不得用面积比例伪造物理边界统计值。</x:v>
      </x:c>
      <x:c r="R17" s="69" t="str">
        <x:v>按 assigned_admin_fragments 及指标适用权重聚合，率值先汇总分子分母后重算。</x:v>
      </x:c>
      <x:c r="S17" s="69" t="str">
        <x:v>不适用。</x:v>
      </x:c>
      <x:c r="T17" s="69" t="str">
        <x:v>V2已定义</x:v>
      </x:c>
      <x:c r="U17" s="69" t="str">
        <x:v>不能直接平均各行政区指数。</x:v>
      </x:c>
      <x:c r="V17" s="69" t="str">
        <x:v>GCI-IND-v2.3-GEE-B05</x:v>
      </x:c>
      <x:c r="W17" s="69" t="str">
        <x:v>GC100-20260827-V1.0.1</x:v>
      </x:c>
    </x:row>
    <x:row r="18" ht="48" customHeight="1">
      <x:c r="A18" s="69" t="str">
        <x:v>城市规模（Urban Scale）</x:v>
      </x:c>
      <x:c r="B18" s="70" t="n">
        <x:v>0.3</x:v>
      </x:c>
      <x:c r="C18" s="69" t="str">
        <x:v>人口规模（Population Scale）</x:v>
      </x:c>
      <x:c r="D18" s="70" t="n">
        <x:v>0.2</x:v>
      </x:c>
      <x:c r="E18" s="69" t="n">
        <x:v>17</x:v>
      </x:c>
      <x:c r="F18" s="69" t="str">
        <x:v>男女比例（Male: Female）</x:v>
      </x:c>
      <x:c r="G18" s="71" t="n">
        <x:v>0.1</x:v>
      </x:c>
      <x:c r="H18" s="71" t="n">
        <x:f>B18*D18*G18</x:f>
        <x:v>0.006</x:v>
      </x:c>
      <x:c r="I18" s="72" t="n">
        <x:v>1</x:v>
      </x:c>
      <x:c r="J18" s="69" t="str">
        <x:v>ADMIN_DEMOGRAPHIC_STAT</x:v>
      </x:c>
      <x:c r="K18" s="69" t="str">
        <x:v>ADMIN</x:v>
      </x:c>
      <x:c r="L18" s="69" t="str">
        <x:v>ADMIN</x:v>
      </x:c>
      <x:c r="M18" s="69" t="str">
        <x:v>ADM</x:v>
      </x:c>
      <x:c r="N18" s="69" t="str">
        <x:v>RATIO_RECALC</x:v>
      </x:c>
      <x:c r="O18" s="69" t="str">
        <x:v>POPULATION</x:v>
      </x:c>
      <x:c r="P18" s="69" t="str">
        <x:v>Σ(MalePopulation)/Σ(FemalePopulation)</x:v>
      </x:c>
      <x:c r="Q18" s="69" t="str">
        <x:v>不计算；不得用面积比例伪造物理边界统计值。</x:v>
      </x:c>
      <x:c r="R18" s="69" t="str">
        <x:v>按 assigned_admin_fragments 及指标适用权重聚合，率值先汇总分子分母后重算。</x:v>
      </x:c>
      <x:c r="S18" s="69" t="str">
        <x:v>不适用。</x:v>
      </x:c>
      <x:c r="T18" s="69" t="str">
        <x:v>V2已定义</x:v>
      </x:c>
      <x:c r="U18" s="69" t="str">
        <x:v>先汇总分子分母，再计算比值。</x:v>
      </x:c>
      <x:c r="V18" s="69" t="str">
        <x:v>GCI-IND-v2.3-GEE-B05</x:v>
      </x:c>
      <x:c r="W18" s="69" t="str">
        <x:v>GC100-20260827-V1.0.1</x:v>
      </x:c>
    </x:row>
    <x:row r="19" ht="48" customHeight="1">
      <x:c r="A19" s="69" t="str">
        <x:v>城市规模（Urban Scale）</x:v>
      </x:c>
      <x:c r="B19" s="70" t="n">
        <x:v>0.3</x:v>
      </x:c>
      <x:c r="C19" s="69" t="str">
        <x:v>人口规模（Population Scale）</x:v>
      </x:c>
      <x:c r="D19" s="70" t="n">
        <x:v>0.2</x:v>
      </x:c>
      <x:c r="E19" s="69" t="n">
        <x:v>18</x:v>
      </x:c>
      <x:c r="F19" s="69" t="str">
        <x:v>人口老龄化（An ageing population: Percentage of &gt;65）</x:v>
      </x:c>
      <x:c r="G19" s="71" t="n">
        <x:v>0.16</x:v>
      </x:c>
      <x:c r="H19" s="71" t="n">
        <x:f>B19*D19*G19</x:f>
        <x:v>0.0096</x:v>
      </x:c>
      <x:c r="I19" s="72" t="n">
        <x:v>1</x:v>
      </x:c>
      <x:c r="J19" s="69" t="str">
        <x:v>ADMIN_DEMOGRAPHIC_STAT</x:v>
      </x:c>
      <x:c r="K19" s="69" t="str">
        <x:v>ADMIN</x:v>
      </x:c>
      <x:c r="L19" s="69" t="str">
        <x:v>ADMIN</x:v>
      </x:c>
      <x:c r="M19" s="69" t="str">
        <x:v>ADM</x:v>
      </x:c>
      <x:c r="N19" s="69" t="str">
        <x:v>RATIO_RECALC</x:v>
      </x:c>
      <x:c r="O19" s="69" t="str">
        <x:v>POPULATION</x:v>
      </x:c>
      <x:c r="P19" s="69" t="str">
        <x:v>Σ(Population_65plus)/Σ(TotalPopulation)×100%</x:v>
      </x:c>
      <x:c r="Q19" s="69" t="str">
        <x:v>不计算；不得用面积比例伪造物理边界统计值。</x:v>
      </x:c>
      <x:c r="R19" s="69" t="str">
        <x:v>按 assigned_admin_fragments 及指标适用权重聚合，率值先汇总分子分母后重算。</x:v>
      </x:c>
      <x:c r="S19" s="69" t="str">
        <x:v>不适用。</x:v>
      </x:c>
      <x:c r="T19" s="69" t="str">
        <x:v>V2已定义</x:v>
      </x:c>
      <x:c r="U19" s="69" t="str">
        <x:v>先汇总年龄组人口。</x:v>
      </x:c>
      <x:c r="V19" s="69" t="str">
        <x:v>GCI-IND-v2.3-GEE-B05</x:v>
      </x:c>
      <x:c r="W19" s="69" t="str">
        <x:v>GC100-20260827-V1.0.1</x:v>
      </x:c>
    </x:row>
    <x:row r="20" ht="48" customHeight="1">
      <x:c r="A20" s="69" t="str">
        <x:v>城市规模（Urban Scale）</x:v>
      </x:c>
      <x:c r="B20" s="70" t="n">
        <x:v>0.3</x:v>
      </x:c>
      <x:c r="C20" s="69" t="str">
        <x:v>人口规模（Population Scale）</x:v>
      </x:c>
      <x:c r="D20" s="70" t="n">
        <x:v>0.2</x:v>
      </x:c>
      <x:c r="E20" s="69" t="n">
        <x:v>19</x:v>
      </x:c>
      <x:c r="F20" s="69" t="str">
        <x:v>人口增长率（Population growth for 2000-2020）</x:v>
      </x:c>
      <x:c r="G20" s="71" t="n">
        <x:v>0.16</x:v>
      </x:c>
      <x:c r="H20" s="71" t="n">
        <x:f>B20*D20*G20</x:f>
        <x:v>0.0096</x:v>
      </x:c>
      <x:c r="I20" s="72" t="n">
        <x:v>1</x:v>
      </x:c>
      <x:c r="J20" s="69" t="str">
        <x:v>GRIDDED_POPULATION_TIME_SERIES</x:v>
      </x:c>
      <x:c r="K20" s="69" t="str">
        <x:v>DUAL</x:v>
      </x:c>
      <x:c r="L20" s="69" t="str">
        <x:v>DUAL</x:v>
      </x:c>
      <x:c r="M20" s="69" t="str">
        <x:v>PHY + ADM</x:v>
      </x:c>
      <x:c r="N20" s="69" t="str">
        <x:v>GROWTH_RECALC</x:v>
      </x:c>
      <x:c r="O20" s="69" t="str">
        <x:v>POPULATION</x:v>
      </x:c>
      <x:c r="P20" s="69" t="str">
        <x:v>(Population_t1−Population_t0)/Population_t0×100%（两套边界分别计算）</x:v>
      </x:c>
      <x:c r="Q20" s="69" t="str">
        <x:v>在 city_100km_ultimate 物理边界内独立计算。</x:v>
      </x:c>
      <x:c r="R20" s="69" t="str">
        <x:v>在对应行政片段/行政统计口径内独立计算。</x:v>
      </x:c>
      <x:c r="S20" s="69" t="str">
        <x:v>同一源数据、同一年度、同一算法分别运行两次，输出 *_PHY 与 *_ADM；两值不相加、不平均。</x:v>
      </x:c>
      <x:c r="T20" s="69" t="str">
        <x:v>V2已定义</x:v>
      </x:c>
      <x:c r="U20" s="69" t="str">
        <x:v>固定边界回算历史人口。</x:v>
      </x:c>
      <x:c r="V20" s="69" t="str">
        <x:v>GCI-IND-v2.3-GEE-B05</x:v>
      </x:c>
      <x:c r="W20" s="69" t="str">
        <x:v>GC100-20260827-V1.0.1</x:v>
      </x:c>
    </x:row>
    <x:row r="21" ht="48" customHeight="1">
      <x:c r="A21" s="69" t="str">
        <x:v>城市规模（Urban Scale）</x:v>
      </x:c>
      <x:c r="B21" s="70" t="n">
        <x:v>0.3</x:v>
      </x:c>
      <x:c r="C21" s="69" t="str">
        <x:v>人口规模（Population Scale）</x:v>
      </x:c>
      <x:c r="D21" s="70" t="n">
        <x:v>0.2</x:v>
      </x:c>
      <x:c r="E21" s="69" t="n">
        <x:v>20</x:v>
      </x:c>
      <x:c r="F21" s="69" t="str">
        <x:v>人口出生率（Birth rate）</x:v>
      </x:c>
      <x:c r="G21" s="71" t="n">
        <x:v>0.16</x:v>
      </x:c>
      <x:c r="H21" s="71" t="n">
        <x:f>B21*D21*G21</x:f>
        <x:v>0.0096</x:v>
      </x:c>
      <x:c r="I21" s="72" t="n">
        <x:v>0</x:v>
      </x:c>
      <x:c r="J21" s="69" t="str">
        <x:v>ADMIN_VITAL_STAT</x:v>
      </x:c>
      <x:c r="K21" s="69" t="str">
        <x:v>ADMIN</x:v>
      </x:c>
      <x:c r="L21" s="69" t="str">
        <x:v>ADMIN</x:v>
      </x:c>
      <x:c r="M21" s="69" t="str">
        <x:v>ADM</x:v>
      </x:c>
      <x:c r="N21" s="69" t="str">
        <x:v>RATIO_RECALC</x:v>
      </x:c>
      <x:c r="O21" s="69" t="str">
        <x:v>POPULATION</x:v>
      </x:c>
      <x:c r="P21" s="69" t="str">
        <x:v>Σ(Births)/Σ(MidYearPopulation)×1000</x:v>
      </x:c>
      <x:c r="Q21" s="69" t="str">
        <x:v>不计算；不得用面积比例伪造物理边界统计值。</x:v>
      </x:c>
      <x:c r="R21" s="69" t="str">
        <x:v>按 assigned_admin_fragments 及指标适用权重聚合，率值先汇总分子分母后重算。</x:v>
      </x:c>
      <x:c r="S21" s="69" t="str">
        <x:v>不适用。</x:v>
      </x:c>
      <x:c r="T21" s="69" t="str">
        <x:v>建议口径／待数据源确认</x:v>
      </x:c>
      <x:c r="U21" s="69" t="str">
        <x:v>统一为‰并记录统计年度。</x:v>
      </x:c>
      <x:c r="V21" s="69" t="str">
        <x:v>GCI-IND-v2.3-GEE-B05</x:v>
      </x:c>
      <x:c r="W21" s="69" t="str">
        <x:v>GC100-20260827-V1.0.1</x:v>
      </x:c>
    </x:row>
    <x:row r="22" ht="48" customHeight="1">
      <x:c r="A22" s="69" t="str">
        <x:v>生活品质（Quality of Life）</x:v>
      </x:c>
      <x:c r="B22" s="70" t="n">
        <x:v>0.2</x:v>
      </x:c>
      <x:c r="C22" s="69" t="str">
        <x:v>自然条件（Natural Conditions）</x:v>
      </x:c>
      <x:c r="D22" s="70" t="n">
        <x:v>0.15</x:v>
      </x:c>
      <x:c r="E22" s="69" t="n">
        <x:v>23</x:v>
      </x:c>
      <x:c r="F22" s="69" t="str">
        <x:v>年均温（Mean temperature (℃)）</x:v>
      </x:c>
      <x:c r="G22" s="71" t="n">
        <x:v>0.12</x:v>
      </x:c>
      <x:c r="H22" s="71" t="n">
        <x:f>B22*D22*G22</x:f>
        <x:v>0.0036</x:v>
      </x:c>
      <x:c r="I22" s="72" t="n">
        <x:v>1</x:v>
      </x:c>
      <x:c r="J22" s="69" t="str">
        <x:v>CLIMATE_RASTER</x:v>
      </x:c>
      <x:c r="K22" s="69" t="str">
        <x:v>DUAL</x:v>
      </x:c>
      <x:c r="L22" s="69" t="str">
        <x:v>DUAL</x:v>
      </x:c>
      <x:c r="M22" s="69" t="str">
        <x:v>PHY + ADM</x:v>
      </x:c>
      <x:c r="N22" s="69" t="str">
        <x:v>AREA_WEIGHTED_MEAN</x:v>
      </x:c>
      <x:c r="O22" s="69" t="str">
        <x:v>DIRECT_CLIP</x:v>
      </x:c>
      <x:c r="P22" s="69" t="str">
        <x:v>Σ(Temperature_i×Area_i)/Σ(Area_i)</x:v>
      </x:c>
      <x:c r="Q22" s="69" t="str">
        <x:v>在 city_100km_ultimate 物理边界内独立计算。</x:v>
      </x:c>
      <x:c r="R22" s="69" t="str">
        <x:v>在对应行政片段/行政统计口径内独立计算。</x:v>
      </x:c>
      <x:c r="S22" s="69" t="str">
        <x:v>同一源数据、同一年度、同一算法分别运行两次，输出 *_PHY 与 *_ADM；两值不相加、不平均。</x:v>
      </x:c>
      <x:c r="T22" s="69" t="str">
        <x:v>V2已定义</x:v>
      </x:c>
      <x:c r="U22" s="69" t="str">
        <x:v>明确年均或多年气候平均期。</x:v>
      </x:c>
      <x:c r="V22" s="69" t="str">
        <x:v>GCI-IND-v2.3-GEE-B05</x:v>
      </x:c>
      <x:c r="W22" s="69" t="str">
        <x:v>GC100-20260827-V1.0.1</x:v>
      </x:c>
    </x:row>
    <x:row r="23" ht="48" customHeight="1">
      <x:c r="A23" s="69" t="str">
        <x:v>生活品质（Quality of Life）</x:v>
      </x:c>
      <x:c r="B23" s="70" t="n">
        <x:v>0.2</x:v>
      </x:c>
      <x:c r="C23" s="69" t="str">
        <x:v>自然条件（Natural Conditions）</x:v>
      </x:c>
      <x:c r="D23" s="70" t="n">
        <x:v>0.15</x:v>
      </x:c>
      <x:c r="E23" s="69" t="n">
        <x:v>24</x:v>
      </x:c>
      <x:c r="F23" s="69" t="str">
        <x:v>年降水量（Mean precipitation（mm））</x:v>
      </x:c>
      <x:c r="G23" s="71" t="n">
        <x:v>0.12</x:v>
      </x:c>
      <x:c r="H23" s="71" t="n">
        <x:f>B23*D23*G23</x:f>
        <x:v>0.0036</x:v>
      </x:c>
      <x:c r="I23" s="72" t="n">
        <x:v>1</x:v>
      </x:c>
      <x:c r="J23" s="69" t="str">
        <x:v>CLIMATE_RASTER</x:v>
      </x:c>
      <x:c r="K23" s="69" t="str">
        <x:v>DUAL</x:v>
      </x:c>
      <x:c r="L23" s="69" t="str">
        <x:v>DUAL</x:v>
      </x:c>
      <x:c r="M23" s="69" t="str">
        <x:v>PHY + ADM</x:v>
      </x:c>
      <x:c r="N23" s="69" t="str">
        <x:v>AREA_WEIGHTED_MEAN</x:v>
      </x:c>
      <x:c r="O23" s="69" t="str">
        <x:v>DIRECT_CLIP</x:v>
      </x:c>
      <x:c r="P23" s="69" t="str">
        <x:v>Σ(Precipitation_i×Area_i)/Σ(Area_i)</x:v>
      </x:c>
      <x:c r="Q23" s="69" t="str">
        <x:v>在 city_100km_ultimate 物理边界内独立计算。</x:v>
      </x:c>
      <x:c r="R23" s="69" t="str">
        <x:v>在对应行政片段/行政统计口径内独立计算。</x:v>
      </x:c>
      <x:c r="S23" s="69" t="str">
        <x:v>同一源数据、同一年度、同一算法分别运行两次，输出 *_PHY 与 *_ADM；两值不相加、不平均。</x:v>
      </x:c>
      <x:c r="T23" s="69" t="str">
        <x:v>V2已定义</x:v>
      </x:c>
      <x:c r="U23" s="69" t="str">
        <x:v>明确累计降水或多年均值。</x:v>
      </x:c>
      <x:c r="V23" s="69" t="str">
        <x:v>GCI-IND-v2.3-GEE-B05</x:v>
      </x:c>
      <x:c r="W23" s="69" t="str">
        <x:v>GC100-20260827-V1.0.1</x:v>
      </x:c>
    </x:row>
    <x:row r="24" ht="48" customHeight="1">
      <x:c r="A24" s="69" t="str">
        <x:v>生活品质（Quality of Life）</x:v>
      </x:c>
      <x:c r="B24" s="70" t="n">
        <x:v>0.2</x:v>
      </x:c>
      <x:c r="C24" s="69" t="str">
        <x:v>自然条件（Natural Conditions）</x:v>
      </x:c>
      <x:c r="D24" s="70" t="n">
        <x:v>0.15</x:v>
      </x:c>
      <x:c r="E24" s="69" t="n">
        <x:v>25</x:v>
      </x:c>
      <x:c r="F24" s="69" t="str">
        <x:v>坡度（Mean slope (degree））</x:v>
      </x:c>
      <x:c r="G24" s="71" t="n">
        <x:v>0.1</x:v>
      </x:c>
      <x:c r="H24" s="71" t="n">
        <x:f>B24*D24*G24</x:f>
        <x:v>0.003</x:v>
      </x:c>
      <x:c r="I24" s="72" t="n">
        <x:v>1</x:v>
      </x:c>
      <x:c r="J24" s="69" t="str">
        <x:v>DEM_RASTER</x:v>
      </x:c>
      <x:c r="K24" s="69" t="str">
        <x:v>DUAL</x:v>
      </x:c>
      <x:c r="L24" s="69" t="str">
        <x:v>DUAL</x:v>
      </x:c>
      <x:c r="M24" s="69" t="str">
        <x:v>PHY + ADM</x:v>
      </x:c>
      <x:c r="N24" s="69" t="str">
        <x:v>AREA_WEIGHTED_MEAN</x:v>
      </x:c>
      <x:c r="O24" s="69" t="str">
        <x:v>DIRECT_CLIP</x:v>
      </x:c>
      <x:c r="P24" s="69" t="str">
        <x:v>Σ(Slope_i×Area_i)/Σ(Area_i)</x:v>
      </x:c>
      <x:c r="Q24" s="69" t="str">
        <x:v>在 city_100km_ultimate 物理边界内独立计算。</x:v>
      </x:c>
      <x:c r="R24" s="69" t="str">
        <x:v>在对应行政片段/行政统计口径内独立计算。</x:v>
      </x:c>
      <x:c r="S24" s="69" t="str">
        <x:v>同一源数据、同一年度、同一算法分别运行两次，输出 *_PHY 与 *_ADM；两值不相加、不平均。</x:v>
      </x:c>
      <x:c r="T24" s="69" t="str">
        <x:v>V2已定义</x:v>
      </x:c>
      <x:c r="U24" s="69" t="str">
        <x:v>统一DEM和坡度算法。</x:v>
      </x:c>
      <x:c r="V24" s="69" t="str">
        <x:v>GCI-IND-v2.3-GEE-B05</x:v>
      </x:c>
      <x:c r="W24" s="69" t="str">
        <x:v>GC100-20260827-V1.0.1</x:v>
      </x:c>
    </x:row>
    <x:row r="25" ht="48" customHeight="1">
      <x:c r="A25" s="69" t="str">
        <x:v>生活品质（Quality of Life）</x:v>
      </x:c>
      <x:c r="B25" s="70" t="n">
        <x:v>0.2</x:v>
      </x:c>
      <x:c r="C25" s="69" t="str">
        <x:v>自然条件（Natural Conditions）</x:v>
      </x:c>
      <x:c r="D25" s="70" t="n">
        <x:v>0.15</x:v>
      </x:c>
      <x:c r="E25" s="69" t="n">
        <x:v>26</x:v>
      </x:c>
      <x:c r="F25" s="69" t="str">
        <x:v>太阳辐射量（Solar radiation (W/m²)）</x:v>
      </x:c>
      <x:c r="G25" s="71" t="n">
        <x:v>0.1</x:v>
      </x:c>
      <x:c r="H25" s="71" t="n">
        <x:f>B25*D25*G25</x:f>
        <x:v>0.003</x:v>
      </x:c>
      <x:c r="I25" s="72" t="n">
        <x:v>1</x:v>
      </x:c>
      <x:c r="J25" s="69" t="str">
        <x:v>SOLAR_RASTER</x:v>
      </x:c>
      <x:c r="K25" s="69" t="str">
        <x:v>DUAL</x:v>
      </x:c>
      <x:c r="L25" s="69" t="str">
        <x:v>DUAL</x:v>
      </x:c>
      <x:c r="M25" s="69" t="str">
        <x:v>PHY + ADM</x:v>
      </x:c>
      <x:c r="N25" s="69" t="str">
        <x:v>AREA_WEIGHTED_MEAN</x:v>
      </x:c>
      <x:c r="O25" s="69" t="str">
        <x:v>DIRECT_CLIP</x:v>
      </x:c>
      <x:c r="P25" s="69" t="str">
        <x:v>Σ(SolarRadiation_i×Area_i)/Σ(Area_i)</x:v>
      </x:c>
      <x:c r="Q25" s="69" t="str">
        <x:v>在 city_100km_ultimate 物理边界内独立计算。</x:v>
      </x:c>
      <x:c r="R25" s="69" t="str">
        <x:v>在对应行政片段/行政统计口径内独立计算。</x:v>
      </x:c>
      <x:c r="S25" s="69" t="str">
        <x:v>同一源数据、同一年度、同一算法分别运行两次，输出 *_PHY 与 *_ADM；两值不相加、不平均。</x:v>
      </x:c>
      <x:c r="T25" s="69" t="str">
        <x:v>V2已定义</x:v>
      </x:c>
      <x:c r="U25" s="69" t="str">
        <x:v>明确年均辐射量单位。</x:v>
      </x:c>
      <x:c r="V25" s="69" t="str">
        <x:v>GCI-IND-v2.3-GEE-B05</x:v>
      </x:c>
      <x:c r="W25" s="69" t="str">
        <x:v>GC100-20260827-V1.0.1</x:v>
      </x:c>
    </x:row>
    <x:row r="26" ht="48" customHeight="1">
      <x:c r="A26" s="69" t="str">
        <x:v>生活品质（Quality of Life）</x:v>
      </x:c>
      <x:c r="B26" s="70" t="n">
        <x:v>0.2</x:v>
      </x:c>
      <x:c r="C26" s="69" t="str">
        <x:v>自然条件（Natural Conditions）</x:v>
      </x:c>
      <x:c r="D26" s="70" t="n">
        <x:v>0.15</x:v>
      </x:c>
      <x:c r="E26" s="69" t="n">
        <x:v>27</x:v>
      </x:c>
      <x:c r="F26" s="69" t="str">
        <x:v>舒适温度天数（Days of comfortable temperature）</x:v>
      </x:c>
      <x:c r="G26" s="71" t="n">
        <x:v>0.16</x:v>
      </x:c>
      <x:c r="H26" s="71" t="n">
        <x:f>B26*D26*G26</x:f>
        <x:v>0.0048</x:v>
      </x:c>
      <x:c r="I26" s="72" t="n">
        <x:v>1</x:v>
      </x:c>
      <x:c r="J26" s="69" t="str">
        <x:v>CLIMATE_TIME_SERIES</x:v>
      </x:c>
      <x:c r="K26" s="69" t="str">
        <x:v>DUAL</x:v>
      </x:c>
      <x:c r="L26" s="69" t="str">
        <x:v>DUAL</x:v>
      </x:c>
      <x:c r="M26" s="69" t="str">
        <x:v>PHY + ADM</x:v>
      </x:c>
      <x:c r="N26" s="69" t="str">
        <x:v>AREA_WEIGHTED_MEAN</x:v>
      </x:c>
      <x:c r="O26" s="69" t="str">
        <x:v>DIRECT_CLIP</x:v>
      </x:c>
      <x:c r="P26" s="69" t="str">
        <x:v>Σ(ComfortableDays_i×Area_i)/Σ(Area_i)</x:v>
      </x:c>
      <x:c r="Q26" s="69" t="str">
        <x:v>在 city_100km_ultimate 物理边界内独立计算。</x:v>
      </x:c>
      <x:c r="R26" s="69" t="str">
        <x:v>在对应行政片段/行政统计口径内独立计算。</x:v>
      </x:c>
      <x:c r="S26" s="69" t="str">
        <x:v>同一源数据、同一年度、同一算法分别运行两次，输出 *_PHY 与 *_ADM；两值不相加、不平均。</x:v>
      </x:c>
      <x:c r="T26" s="69" t="str">
        <x:v>V2已定义</x:v>
      </x:c>
      <x:c r="U26" s="69" t="str">
        <x:v>舒适温度阈值需在全球统一。</x:v>
      </x:c>
      <x:c r="V26" s="69" t="str">
        <x:v>GCI-IND-v2.3-GEE-B05</x:v>
      </x:c>
      <x:c r="W26" s="69" t="str">
        <x:v>GC100-20260827-V1.0.1</x:v>
      </x:c>
    </x:row>
    <x:row r="27" ht="48" customHeight="1">
      <x:c r="A27" s="69" t="str">
        <x:v>生活品质（Quality of Life）</x:v>
      </x:c>
      <x:c r="B27" s="70" t="n">
        <x:v>0.2</x:v>
      </x:c>
      <x:c r="C27" s="69" t="str">
        <x:v>自然条件（Natural Conditions）</x:v>
      </x:c>
      <x:c r="D27" s="70" t="n">
        <x:v>0.15</x:v>
      </x:c>
      <x:c r="E27" s="69" t="n">
        <x:v>28</x:v>
      </x:c>
      <x:c r="F27" s="69" t="str">
        <x:v>天空视野率（Sky View Factor）</x:v>
      </x:c>
      <x:c r="G27" s="71" t="n">
        <x:v>0.12</x:v>
      </x:c>
      <x:c r="H27" s="71" t="n">
        <x:f>B27*D27*G27</x:f>
        <x:v>0.0036</x:v>
      </x:c>
      <x:c r="I27" s="72" t="n">
        <x:v>1</x:v>
      </x:c>
      <x:c r="J27" s="69" t="str">
        <x:v>URBAN_MORPHOLOGY_RASTER</x:v>
      </x:c>
      <x:c r="K27" s="69" t="str">
        <x:v>PHYSICAL</x:v>
      </x:c>
      <x:c r="L27" s="69" t="str">
        <x:v>PHYSICAL</x:v>
      </x:c>
      <x:c r="M27" s="69" t="str">
        <x:v>PHY</x:v>
      </x:c>
      <x:c r="N27" s="69" t="str">
        <x:v>AREA_WEIGHTED_MEAN</x:v>
      </x:c>
      <x:c r="O27" s="69" t="str">
        <x:v>NONE</x:v>
      </x:c>
      <x:c r="P27" s="69" t="str">
        <x:v>Σ(SVF_i×BuiltArea_i)/Σ(BuiltArea_i)</x:v>
      </x:c>
      <x:c r="Q27" s="69" t="str">
        <x:v>在 city_100km_ultimate 最终物理城市边界内计算。</x:v>
      </x:c>
      <x:c r="R27" s="69" t="str">
        <x:v>不计算；除非后续版本将源数据升级为双边界。</x:v>
      </x:c>
      <x:c r="S27" s="69" t="str">
        <x:v>不适用。</x:v>
      </x:c>
      <x:c r="T27" s="69" t="str">
        <x:v>V2已定义</x:v>
      </x:c>
      <x:c r="U27" s="69" t="str">
        <x:v>仅统计物理城市建成空间。</x:v>
      </x:c>
      <x:c r="V27" s="69" t="str">
        <x:v>GCI-IND-v2.3-GEE-B05</x:v>
      </x:c>
      <x:c r="W27" s="69" t="str">
        <x:v>GC100-20260827-V1.0.1</x:v>
      </x:c>
    </x:row>
    <x:row r="28" ht="48" customHeight="1">
      <x:c r="A28" s="69" t="str">
        <x:v>生活品质（Quality of Life）</x:v>
      </x:c>
      <x:c r="B28" s="70" t="n">
        <x:v>0.2</x:v>
      </x:c>
      <x:c r="C28" s="69" t="str">
        <x:v>自然条件（Natural Conditions）</x:v>
      </x:c>
      <x:c r="D28" s="70" t="n">
        <x:v>0.15</x:v>
      </x:c>
      <x:c r="E28" s="69" t="n">
        <x:v>29</x:v>
      </x:c>
      <x:c r="F28" s="69" t="str">
        <x:v>海拔高度（Mean elevation (meter)）</x:v>
      </x:c>
      <x:c r="G28" s="71" t="n">
        <x:v>0.1</x:v>
      </x:c>
      <x:c r="H28" s="71" t="n">
        <x:f>B28*D28*G28</x:f>
        <x:v>0.003</x:v>
      </x:c>
      <x:c r="I28" s="72" t="n">
        <x:v>1</x:v>
      </x:c>
      <x:c r="J28" s="69" t="str">
        <x:v>DEM_RASTER</x:v>
      </x:c>
      <x:c r="K28" s="69" t="str">
        <x:v>DUAL</x:v>
      </x:c>
      <x:c r="L28" s="69" t="str">
        <x:v>DUAL</x:v>
      </x:c>
      <x:c r="M28" s="69" t="str">
        <x:v>PHY + ADM</x:v>
      </x:c>
      <x:c r="N28" s="69" t="str">
        <x:v>AREA_WEIGHTED_MEAN</x:v>
      </x:c>
      <x:c r="O28" s="69" t="str">
        <x:v>DIRECT_CLIP</x:v>
      </x:c>
      <x:c r="P28" s="69" t="str">
        <x:v>Σ(Elevation_i×Area_i)/Σ(Area_i)</x:v>
      </x:c>
      <x:c r="Q28" s="69" t="str">
        <x:v>在 city_100km_ultimate 物理边界内独立计算。</x:v>
      </x:c>
      <x:c r="R28" s="69" t="str">
        <x:v>在对应行政片段/行政统计口径内独立计算。</x:v>
      </x:c>
      <x:c r="S28" s="69" t="str">
        <x:v>同一源数据、同一年度、同一算法分别运行两次，输出 *_PHY 与 *_ADM；两值不相加、不平均。</x:v>
      </x:c>
      <x:c r="T28" s="69" t="str">
        <x:v>V2已定义</x:v>
      </x:c>
      <x:c r="U28" s="69" t="str">
        <x:v>明确是否排除水体。</x:v>
      </x:c>
      <x:c r="V28" s="69" t="str">
        <x:v>GCI-IND-v2.3-GEE-B05</x:v>
      </x:c>
      <x:c r="W28" s="69" t="str">
        <x:v>GC100-20260827-V1.0.1</x:v>
      </x:c>
    </x:row>
    <x:row r="29" ht="48" customHeight="1">
      <x:c r="A29" s="69" t="str">
        <x:v>生活品质（Quality of Life）</x:v>
      </x:c>
      <x:c r="B29" s="70" t="n">
        <x:v>0.2</x:v>
      </x:c>
      <x:c r="C29" s="69" t="str">
        <x:v>自然条件（Natural Conditions）</x:v>
      </x:c>
      <x:c r="D29" s="70" t="n">
        <x:v>0.15</x:v>
      </x:c>
      <x:c r="E29" s="69" t="n">
        <x:v>30</x:v>
      </x:c>
      <x:c r="F29" s="69" t="str">
        <x:v>土壤肥力（Soil fertility）</x:v>
      </x:c>
      <x:c r="G29" s="71" t="n">
        <x:v>0.08</x:v>
      </x:c>
      <x:c r="H29" s="71" t="n">
        <x:f>B29*D29*G29</x:f>
        <x:v>0.0024</x:v>
      </x:c>
      <x:c r="I29" s="72" t="n">
        <x:v>0</x:v>
      </x:c>
      <x:c r="J29" s="69" t="str">
        <x:v>SOIL_RASTER</x:v>
      </x:c>
      <x:c r="K29" s="69" t="str">
        <x:v>DUAL</x:v>
      </x:c>
      <x:c r="L29" s="69" t="str">
        <x:v>DUAL</x:v>
      </x:c>
      <x:c r="M29" s="69" t="str">
        <x:v>PHY + ADM</x:v>
      </x:c>
      <x:c r="N29" s="69" t="str">
        <x:v>AREA_WEIGHTED_MEAN</x:v>
      </x:c>
      <x:c r="O29" s="69" t="str">
        <x:v>DIRECT_CLIP</x:v>
      </x:c>
      <x:c r="P29" s="69" t="str">
        <x:v>Σ(SoilFertility_i×Area_i)/Σ(Area_i)</x:v>
      </x:c>
      <x:c r="Q29" s="69" t="str">
        <x:v>在 city_100km_ultimate 物理边界内独立计算。</x:v>
      </x:c>
      <x:c r="R29" s="69" t="str">
        <x:v>在对应行政片段/行政统计口径内独立计算。</x:v>
      </x:c>
      <x:c r="S29" s="69" t="str">
        <x:v>同一源数据、同一年度、同一算法分别运行两次，输出 *_PHY 与 *_ADM；两值不相加、不平均。</x:v>
      </x:c>
      <x:c r="T29" s="69" t="str">
        <x:v>建议口径／待数据源确认</x:v>
      </x:c>
      <x:c r="U29" s="69" t="str">
        <x:v>数据源尚待确定。</x:v>
      </x:c>
      <x:c r="V29" s="69" t="str">
        <x:v>GCI-IND-v2.3-GEE-B05</x:v>
      </x:c>
      <x:c r="W29" s="69" t="str">
        <x:v>GC100-20260827-V1.0.1</x:v>
      </x:c>
    </x:row>
    <x:row r="30" ht="48" customHeight="1">
      <x:c r="A30" s="69" t="str">
        <x:v>生活品质（Quality of Life）</x:v>
      </x:c>
      <x:c r="B30" s="70" t="n">
        <x:v>0.2</x:v>
      </x:c>
      <x:c r="C30" s="69" t="str">
        <x:v>自然条件（Natural Conditions）</x:v>
      </x:c>
      <x:c r="D30" s="70" t="n">
        <x:v>0.15</x:v>
      </x:c>
      <x:c r="E30" s="69" t="n">
        <x:v>31</x:v>
      </x:c>
      <x:c r="F30" s="69" t="str">
        <x:v>曲率（Curvature）</x:v>
      </x:c>
      <x:c r="G30" s="71" t="n">
        <x:v>0.1</x:v>
      </x:c>
      <x:c r="H30" s="71" t="n">
        <x:f>B30*D30*G30</x:f>
        <x:v>0.003</x:v>
      </x:c>
      <x:c r="I30" s="72" t="n">
        <x:v>0</x:v>
      </x:c>
      <x:c r="J30" s="69" t="str">
        <x:v>DEM_RASTER</x:v>
      </x:c>
      <x:c r="K30" s="69" t="str">
        <x:v>DUAL</x:v>
      </x:c>
      <x:c r="L30" s="69" t="str">
        <x:v>DUAL</x:v>
      </x:c>
      <x:c r="M30" s="69" t="str">
        <x:v>PHY + ADM</x:v>
      </x:c>
      <x:c r="N30" s="69" t="str">
        <x:v>AREA_WEIGHTED_MEAN</x:v>
      </x:c>
      <x:c r="O30" s="69" t="str">
        <x:v>DIRECT_CLIP</x:v>
      </x:c>
      <x:c r="P30" s="69" t="str">
        <x:v>Σ(Curvature_i×Area_i)/Σ(Area_i)</x:v>
      </x:c>
      <x:c r="Q30" s="69" t="str">
        <x:v>在 city_100km_ultimate 物理边界内独立计算。</x:v>
      </x:c>
      <x:c r="R30" s="69" t="str">
        <x:v>在对应行政片段/行政统计口径内独立计算。</x:v>
      </x:c>
      <x:c r="S30" s="69" t="str">
        <x:v>同一源数据、同一年度、同一算法分别运行两次，输出 *_PHY 与 *_ADM；两值不相加、不平均。</x:v>
      </x:c>
      <x:c r="T30" s="69" t="str">
        <x:v>建议口径／待数据源确认</x:v>
      </x:c>
      <x:c r="U30" s="69" t="str">
        <x:v>统一曲率定义与尺度。</x:v>
      </x:c>
      <x:c r="V30" s="69" t="str">
        <x:v>GCI-IND-v2.3-GEE-B05</x:v>
      </x:c>
      <x:c r="W30" s="69" t="str">
        <x:v>GC100-20260827-V1.0.1</x:v>
      </x:c>
    </x:row>
    <x:row r="31" ht="48" customHeight="1">
      <x:c r="A31" s="69" t="str">
        <x:v>生活品质（Quality of Life）</x:v>
      </x:c>
      <x:c r="B31" s="70" t="n">
        <x:v>0.2</x:v>
      </x:c>
      <x:c r="C31" s="69" t="str">
        <x:v>基础设施（Infrastructure）</x:v>
      </x:c>
      <x:c r="D31" s="70" t="n">
        <x:v>0.3</x:v>
      </x:c>
      <x:c r="E31" s="69" t="n">
        <x:v>32</x:v>
      </x:c>
      <x:c r="F31" s="69" t="str">
        <x:v>15分钟生活圈（Commuting Time）</x:v>
      </x:c>
      <x:c r="G31" s="71" t="n">
        <x:v>0.2</x:v>
      </x:c>
      <x:c r="H31" s="71" t="n">
        <x:f>B31*D31*G31</x:f>
        <x:v>0.012</x:v>
      </x:c>
      <x:c r="I31" s="72" t="n">
        <x:v>1</x:v>
      </x:c>
      <x:c r="J31" s="69" t="str">
        <x:v>NETWORK_AND_POP_GRID</x:v>
      </x:c>
      <x:c r="K31" s="69" t="str">
        <x:v>DUAL</x:v>
      </x:c>
      <x:c r="L31" s="69" t="str">
        <x:v>DUAL</x:v>
      </x:c>
      <x:c r="M31" s="69" t="str">
        <x:v>PHY + ADM</x:v>
      </x:c>
      <x:c r="N31" s="69" t="str">
        <x:v>POP_WEIGHTED_RATE</x:v>
      </x:c>
      <x:c r="O31" s="69" t="str">
        <x:v>POPULATION_ORIGIN</x:v>
      </x:c>
      <x:c r="P31" s="69" t="str">
        <x:v>Σ(Pop_i×I(15min_access_i=1))/Σ(Pop_i)×100%</x:v>
      </x:c>
      <x:c r="Q31" s="69" t="str">
        <x:v>在 city_100km_ultimate 物理边界内独立计算。</x:v>
      </x:c>
      <x:c r="R31" s="69" t="str">
        <x:v>在对应行政片段/行政统计口径内独立计算。</x:v>
      </x:c>
      <x:c r="S31" s="69" t="str">
        <x:v>同一源数据、同一年度、同一算法分别运行两次，输出 *_PHY 与 *_ADM；两值不相加、不平均。</x:v>
      </x:c>
      <x:c r="T31" s="69" t="str">
        <x:v>V2已定义</x:v>
      </x:c>
      <x:c r="U31" s="69" t="str">
        <x:v>交通方式、设施集合和15分钟阈值需固定。</x:v>
      </x:c>
      <x:c r="V31" s="69" t="str">
        <x:v>GCI-IND-v2.3-GEE-B05</x:v>
      </x:c>
      <x:c r="W31" s="69" t="str">
        <x:v>GC100-20260827-V1.0.1</x:v>
      </x:c>
    </x:row>
    <x:row r="32" ht="48" customHeight="1">
      <x:c r="A32" s="69" t="str">
        <x:v>生活品质（Quality of Life）</x:v>
      </x:c>
      <x:c r="B32" s="70" t="n">
        <x:v>0.2</x:v>
      </x:c>
      <x:c r="C32" s="69" t="str">
        <x:v>基础设施（Infrastructure）</x:v>
      </x:c>
      <x:c r="D32" s="70" t="n">
        <x:v>0.3</x:v>
      </x:c>
      <x:c r="E32" s="69" t="n">
        <x:v>33</x:v>
      </x:c>
      <x:c r="F32" s="69" t="str">
        <x:v>公园数量（The number of urban parks）</x:v>
      </x:c>
      <x:c r="G32" s="71" t="n">
        <x:v>0.16</x:v>
      </x:c>
      <x:c r="H32" s="71" t="n">
        <x:f>B32*D32*G32</x:f>
        <x:v>0.0096</x:v>
      </x:c>
      <x:c r="I32" s="72" t="n">
        <x:v>1</x:v>
      </x:c>
      <x:c r="J32" s="69" t="str">
        <x:v>GEOCODED_POINT_POLYGON</x:v>
      </x:c>
      <x:c r="K32" s="69" t="str">
        <x:v>DUAL</x:v>
      </x:c>
      <x:c r="L32" s="69" t="str">
        <x:v>DUAL</x:v>
      </x:c>
      <x:c r="M32" s="69" t="str">
        <x:v>PHY + ADM</x:v>
      </x:c>
      <x:c r="N32" s="69" t="str">
        <x:v>DEDUP_COUNT</x:v>
      </x:c>
      <x:c r="O32" s="69" t="str">
        <x:v>POINT_IN_POLYGON</x:v>
      </x:c>
      <x:c r="P32" s="69" t="str">
        <x:v>CountDistinct(Park_ID whose representative point lies within boundary)</x:v>
      </x:c>
      <x:c r="Q32" s="69" t="str">
        <x:v>在 city_100km_ultimate 物理边界内独立计算。</x:v>
      </x:c>
      <x:c r="R32" s="69" t="str">
        <x:v>在对应行政片段/行政统计口径内独立计算。</x:v>
      </x:c>
      <x:c r="S32" s="69" t="str">
        <x:v>同一源数据、同一年度、同一算法分别运行两次，输出 *_PHY 与 *_ADM；两值不相加、不平均。</x:v>
      </x:c>
      <x:c r="T32" s="69" t="str">
        <x:v>V2已定义</x:v>
      </x:c>
      <x:c r="U32" s="69" t="str">
        <x:v>跨边界公园只计一次。</x:v>
      </x:c>
      <x:c r="V32" s="69" t="str">
        <x:v>GCI-IND-v2.3-GEE-B05</x:v>
      </x:c>
      <x:c r="W32" s="69" t="str">
        <x:v>GC100-20260827-V1.0.1</x:v>
      </x:c>
    </x:row>
    <x:row r="33" ht="48" customHeight="1">
      <x:c r="A33" s="69" t="str">
        <x:v>生活品质（Quality of Life）</x:v>
      </x:c>
      <x:c r="B33" s="70" t="n">
        <x:v>0.2</x:v>
      </x:c>
      <x:c r="C33" s="69" t="str">
        <x:v>基础设施（Infrastructure）</x:v>
      </x:c>
      <x:c r="D33" s="70" t="n">
        <x:v>0.3</x:v>
      </x:c>
      <x:c r="E33" s="69" t="n">
        <x:v>34</x:v>
      </x:c>
      <x:c r="F33" s="69" t="str">
        <x:v>公园植被丰富度（The richness of parks vegetation）</x:v>
      </x:c>
      <x:c r="G33" s="71" t="n">
        <x:v>0.16</x:v>
      </x:c>
      <x:c r="H33" s="71" t="n">
        <x:f>B33*D33*G33</x:f>
        <x:v>0.0096</x:v>
      </x:c>
      <x:c r="I33" s="72" t="n">
        <x:v>1</x:v>
      </x:c>
      <x:c r="J33" s="69" t="str">
        <x:v>PARK_POLYGON_AND_VEGETATION</x:v>
      </x:c>
      <x:c r="K33" s="69" t="str">
        <x:v>DUAL</x:v>
      </x:c>
      <x:c r="L33" s="69" t="str">
        <x:v>DUAL</x:v>
      </x:c>
      <x:c r="M33" s="69" t="str">
        <x:v>PHY + ADM</x:v>
      </x:c>
      <x:c r="N33" s="69" t="str">
        <x:v>PARK_AREA_WEIGHTED_MEAN</x:v>
      </x:c>
      <x:c r="O33" s="69" t="str">
        <x:v>DIRECT_CLIP</x:v>
      </x:c>
      <x:c r="P33" s="69" t="str">
        <x:v>Σ(Richness_j×ParkArea_j)/Σ(ParkArea_j)</x:v>
      </x:c>
      <x:c r="Q33" s="69" t="str">
        <x:v>在 city_100km_ultimate 物理边界内独立计算。</x:v>
      </x:c>
      <x:c r="R33" s="69" t="str">
        <x:v>在对应行政片段/行政统计口径内独立计算。</x:v>
      </x:c>
      <x:c r="S33" s="69" t="str">
        <x:v>同一源数据、同一年度、同一算法分别运行两次，输出 *_PHY 与 *_ADM；两值不相加、不平均。</x:v>
      </x:c>
      <x:c r="T33" s="69" t="str">
        <x:v>V2已定义</x:v>
      </x:c>
      <x:c r="U33" s="69" t="str">
        <x:v>明确物种丰富度或地表类型丰富度定义。</x:v>
      </x:c>
      <x:c r="V33" s="69" t="str">
        <x:v>GCI-IND-v2.3-GEE-B05</x:v>
      </x:c>
      <x:c r="W33" s="69" t="str">
        <x:v>GC100-20260827-V1.0.1</x:v>
      </x:c>
    </x:row>
    <x:row r="34" ht="48" customHeight="1">
      <x:c r="A34" s="69" t="str">
        <x:v>生活品质（Quality of Life）</x:v>
      </x:c>
      <x:c r="B34" s="70" t="n">
        <x:v>0.2</x:v>
      </x:c>
      <x:c r="C34" s="69" t="str">
        <x:v>基础设施（Infrastructure）</x:v>
      </x:c>
      <x:c r="D34" s="70" t="n">
        <x:v>0.3</x:v>
      </x:c>
      <x:c r="E34" s="69" t="n">
        <x:v>35</x:v>
      </x:c>
      <x:c r="F34" s="69" t="str">
        <x:v>教育设施数量（Number of educational facilities）</x:v>
      </x:c>
      <x:c r="G34" s="71" t="n">
        <x:v>0.18</x:v>
      </x:c>
      <x:c r="H34" s="71" t="n">
        <x:f>B34*D34*G34</x:f>
        <x:v>0.010799999999999999</x:v>
      </x:c>
      <x:c r="I34" s="72" t="n">
        <x:v>1</x:v>
      </x:c>
      <x:c r="J34" s="69" t="str">
        <x:v>GEOCODED_POINT</x:v>
      </x:c>
      <x:c r="K34" s="69" t="str">
        <x:v>DUAL</x:v>
      </x:c>
      <x:c r="L34" s="69" t="str">
        <x:v>DUAL</x:v>
      </x:c>
      <x:c r="M34" s="69" t="str">
        <x:v>PHY + ADM</x:v>
      </x:c>
      <x:c r="N34" s="69" t="str">
        <x:v>DEDUP_COUNT</x:v>
      </x:c>
      <x:c r="O34" s="69" t="str">
        <x:v>POINT_IN_POLYGON</x:v>
      </x:c>
      <x:c r="P34" s="69" t="str">
        <x:v>CountDistinct(EducationFacility_ID within boundary)</x:v>
      </x:c>
      <x:c r="Q34" s="69" t="str">
        <x:v>在 city_100km_ultimate 物理边界内独立计算。</x:v>
      </x:c>
      <x:c r="R34" s="69" t="str">
        <x:v>在对应行政片段/行政统计口径内独立计算。</x:v>
      </x:c>
      <x:c r="S34" s="69" t="str">
        <x:v>同一源数据、同一年度、同一算法分别运行两次，输出 *_PHY 与 *_ADM；两值不相加、不平均。</x:v>
      </x:c>
      <x:c r="T34" s="69" t="str">
        <x:v>V2已定义</x:v>
      </x:c>
      <x:c r="U34" s="69" t="str">
        <x:v>按统一设施等级和去重规则统计。</x:v>
      </x:c>
      <x:c r="V34" s="69" t="str">
        <x:v>GCI-IND-v2.3-GEE-B05</x:v>
      </x:c>
      <x:c r="W34" s="69" t="str">
        <x:v>GC100-20260827-V1.0.1</x:v>
      </x:c>
    </x:row>
    <x:row r="35" ht="48" customHeight="1">
      <x:c r="A35" s="69" t="str">
        <x:v>生活品质（Quality of Life）</x:v>
      </x:c>
      <x:c r="B35" s="70" t="n">
        <x:v>0.2</x:v>
      </x:c>
      <x:c r="C35" s="69" t="str">
        <x:v>基础设施（Infrastructure）</x:v>
      </x:c>
      <x:c r="D35" s="70" t="n">
        <x:v>0.3</x:v>
      </x:c>
      <x:c r="E35" s="69" t="n">
        <x:v>36</x:v>
      </x:c>
      <x:c r="F35" s="69" t="str">
        <x:v>医疗设施数量（Number of medical facilities）</x:v>
      </x:c>
      <x:c r="G35" s="71" t="n">
        <x:v>0.18</x:v>
      </x:c>
      <x:c r="H35" s="71" t="n">
        <x:f>B35*D35*G35</x:f>
        <x:v>0.010799999999999999</x:v>
      </x:c>
      <x:c r="I35" s="72" t="n">
        <x:v>1</x:v>
      </x:c>
      <x:c r="J35" s="69" t="str">
        <x:v>GEOCODED_POINT</x:v>
      </x:c>
      <x:c r="K35" s="69" t="str">
        <x:v>DUAL</x:v>
      </x:c>
      <x:c r="L35" s="69" t="str">
        <x:v>DUAL</x:v>
      </x:c>
      <x:c r="M35" s="69" t="str">
        <x:v>PHY + ADM</x:v>
      </x:c>
      <x:c r="N35" s="69" t="str">
        <x:v>DEDUP_COUNT</x:v>
      </x:c>
      <x:c r="O35" s="69" t="str">
        <x:v>POINT_IN_POLYGON</x:v>
      </x:c>
      <x:c r="P35" s="69" t="str">
        <x:v>CountDistinct(MedicalFacility_ID within boundary)</x:v>
      </x:c>
      <x:c r="Q35" s="69" t="str">
        <x:v>在 city_100km_ultimate 物理边界内独立计算。</x:v>
      </x:c>
      <x:c r="R35" s="69" t="str">
        <x:v>在对应行政片段/行政统计口径内独立计算。</x:v>
      </x:c>
      <x:c r="S35" s="69" t="str">
        <x:v>同一源数据、同一年度、同一算法分别运行两次，输出 *_PHY 与 *_ADM；两值不相加、不平均。</x:v>
      </x:c>
      <x:c r="T35" s="69" t="str">
        <x:v>V2已定义</x:v>
      </x:c>
      <x:c r="U35" s="69" t="str">
        <x:v>医疗机构等级需保留。</x:v>
      </x:c>
      <x:c r="V35" s="69" t="str">
        <x:v>GCI-IND-v2.3-GEE-B05</x:v>
      </x:c>
      <x:c r="W35" s="69" t="str">
        <x:v>GC100-20260827-V1.0.1</x:v>
      </x:c>
    </x:row>
    <x:row r="36" ht="48" customHeight="1">
      <x:c r="A36" s="69" t="str">
        <x:v>生活品质（Quality of Life）</x:v>
      </x:c>
      <x:c r="B36" s="70" t="n">
        <x:v>0.2</x:v>
      </x:c>
      <x:c r="C36" s="69" t="str">
        <x:v>基础设施（Infrastructure）</x:v>
      </x:c>
      <x:c r="D36" s="70" t="n">
        <x:v>0.3</x:v>
      </x:c>
      <x:c r="E36" s="69" t="n">
        <x:v>37</x:v>
      </x:c>
      <x:c r="F36" s="69" t="str">
        <x:v>体育设施数量（Number of sports facilities）</x:v>
      </x:c>
      <x:c r="G36" s="71" t="n">
        <x:v>0.12</x:v>
      </x:c>
      <x:c r="H36" s="71" t="n">
        <x:f>B36*D36*G36</x:f>
        <x:v>0.0072</x:v>
      </x:c>
      <x:c r="I36" s="72" t="n">
        <x:v>1</x:v>
      </x:c>
      <x:c r="J36" s="69" t="str">
        <x:v>GEOCODED_POINT</x:v>
      </x:c>
      <x:c r="K36" s="69" t="str">
        <x:v>DUAL</x:v>
      </x:c>
      <x:c r="L36" s="69" t="str">
        <x:v>DUAL</x:v>
      </x:c>
      <x:c r="M36" s="69" t="str">
        <x:v>PHY + ADM</x:v>
      </x:c>
      <x:c r="N36" s="69" t="str">
        <x:v>DEDUP_COUNT</x:v>
      </x:c>
      <x:c r="O36" s="69" t="str">
        <x:v>POINT_IN_POLYGON</x:v>
      </x:c>
      <x:c r="P36" s="69" t="str">
        <x:v>CountDistinct(SportsFacility_ID within boundary)</x:v>
      </x:c>
      <x:c r="Q36" s="69" t="str">
        <x:v>在 city_100km_ultimate 物理边界内独立计算。</x:v>
      </x:c>
      <x:c r="R36" s="69" t="str">
        <x:v>在对应行政片段/行政统计口径内独立计算。</x:v>
      </x:c>
      <x:c r="S36" s="69" t="str">
        <x:v>同一源数据、同一年度、同一算法分别运行两次，输出 *_PHY 与 *_ADM；两值不相加、不平均。</x:v>
      </x:c>
      <x:c r="T36" s="69" t="str">
        <x:v>V2已定义</x:v>
      </x:c>
      <x:c r="U36" s="69" t="str">
        <x:v>大型场馆与社区设施分类需一致。</x:v>
      </x:c>
      <x:c r="V36" s="69" t="str">
        <x:v>GCI-IND-v2.3-GEE-B05</x:v>
      </x:c>
      <x:c r="W36" s="69" t="str">
        <x:v>GC100-20260827-V1.0.1</x:v>
      </x:c>
    </x:row>
    <x:row r="37" ht="48" customHeight="1">
      <x:c r="A37" s="69" t="str">
        <x:v>生活品质（Quality of Life）</x:v>
      </x:c>
      <x:c r="B37" s="70" t="n">
        <x:v>0.2</x:v>
      </x:c>
      <x:c r="C37" s="69" t="str">
        <x:v>文化丰富（Cultural Richness）</x:v>
      </x:c>
      <x:c r="D37" s="70" t="n">
        <x:v>0.25</x:v>
      </x:c>
      <x:c r="E37" s="69" t="n">
        <x:v>38</x:v>
      </x:c>
      <x:c r="F37" s="69" t="str">
        <x:v>娱乐设施数量（Recreation &amp;amp; cultural sites）</x:v>
      </x:c>
      <x:c r="G37" s="71" t="n">
        <x:v>0.16</x:v>
      </x:c>
      <x:c r="H37" s="71" t="n">
        <x:f>B37*D37*G37</x:f>
        <x:v>0.008</x:v>
      </x:c>
      <x:c r="I37" s="72" t="n">
        <x:v>1</x:v>
      </x:c>
      <x:c r="J37" s="69" t="str">
        <x:v>GEOCODED_POINT</x:v>
      </x:c>
      <x:c r="K37" s="69" t="str">
        <x:v>DUAL</x:v>
      </x:c>
      <x:c r="L37" s="69" t="str">
        <x:v>DUAL</x:v>
      </x:c>
      <x:c r="M37" s="69" t="str">
        <x:v>PHY + ADM</x:v>
      </x:c>
      <x:c r="N37" s="69" t="str">
        <x:v>DEDUP_COUNT</x:v>
      </x:c>
      <x:c r="O37" s="69" t="str">
        <x:v>POINT_IN_POLYGON</x:v>
      </x:c>
      <x:c r="P37" s="69" t="str">
        <x:v>CountDistinct(RecreationSite_ID within boundary)</x:v>
      </x:c>
      <x:c r="Q37" s="69" t="str">
        <x:v>在 city_100km_ultimate 物理边界内独立计算。</x:v>
      </x:c>
      <x:c r="R37" s="69" t="str">
        <x:v>在对应行政片段/行政统计口径内独立计算。</x:v>
      </x:c>
      <x:c r="S37" s="69" t="str">
        <x:v>同一源数据、同一年度、同一算法分别运行两次，输出 *_PHY 与 *_ADM；两值不相加、不平均。</x:v>
      </x:c>
      <x:c r="T37" s="69" t="str">
        <x:v>V2已定义</x:v>
      </x:c>
      <x:c r="U37" s="69" t="str">
        <x:v>固定POI分类体系。</x:v>
      </x:c>
      <x:c r="V37" s="69" t="str">
        <x:v>GCI-IND-v2.3-GEE-B05</x:v>
      </x:c>
      <x:c r="W37" s="69" t="str">
        <x:v>GC100-20260827-V1.0.1</x:v>
      </x:c>
    </x:row>
    <x:row r="38" ht="48" customHeight="1">
      <x:c r="A38" s="69" t="str">
        <x:v>生活品质（Quality of Life）</x:v>
      </x:c>
      <x:c r="B38" s="70" t="n">
        <x:v>0.2</x:v>
      </x:c>
      <x:c r="C38" s="69" t="str">
        <x:v>文化丰富（Cultural Richness）</x:v>
      </x:c>
      <x:c r="D38" s="70" t="n">
        <x:v>0.25</x:v>
      </x:c>
      <x:c r="E38" s="69" t="n">
        <x:v>39</x:v>
      </x:c>
      <x:c r="F38" s="69" t="str">
        <x:v>文化设施数量（Number of Cultural Events）</x:v>
      </x:c>
      <x:c r="G38" s="71" t="n">
        <x:v>0.16</x:v>
      </x:c>
      <x:c r="H38" s="71" t="n">
        <x:f>B38*D38*G38</x:f>
        <x:v>0.008</x:v>
      </x:c>
      <x:c r="I38" s="72" t="n">
        <x:v>1</x:v>
      </x:c>
      <x:c r="J38" s="69" t="str">
        <x:v>GEOCODED_POINT_OR_EVENT</x:v>
      </x:c>
      <x:c r="K38" s="69" t="str">
        <x:v>DUAL</x:v>
      </x:c>
      <x:c r="L38" s="69" t="str">
        <x:v>DUAL</x:v>
      </x:c>
      <x:c r="M38" s="69" t="str">
        <x:v>PHY + ADM</x:v>
      </x:c>
      <x:c r="N38" s="69" t="str">
        <x:v>DEDUP_COUNT</x:v>
      </x:c>
      <x:c r="O38" s="69" t="str">
        <x:v>POINT_IN_POLYGON</x:v>
      </x:c>
      <x:c r="P38" s="69" t="str">
        <x:v>CountDistinct(CulturalFacility_or_Event_ID within boundary)</x:v>
      </x:c>
      <x:c r="Q38" s="69" t="str">
        <x:v>在 city_100km_ultimate 物理边界内独立计算。</x:v>
      </x:c>
      <x:c r="R38" s="69" t="str">
        <x:v>在对应行政片段/行政统计口径内独立计算。</x:v>
      </x:c>
      <x:c r="S38" s="69" t="str">
        <x:v>同一源数据、同一年度、同一算法分别运行两次，输出 *_PHY 与 *_ADM；两值不相加、不平均。</x:v>
      </x:c>
      <x:c r="T38" s="69" t="str">
        <x:v>V2已定义</x:v>
      </x:c>
      <x:c r="U38" s="69" t="str">
        <x:v>当前中英文名称不一致：设施数量或活动数量需确认。</x:v>
      </x:c>
      <x:c r="V38" s="69" t="str">
        <x:v>GCI-IND-v2.3-GEE-B05</x:v>
      </x:c>
      <x:c r="W38" s="69" t="str">
        <x:v>GC100-20260827-V1.0.1</x:v>
      </x:c>
    </x:row>
    <x:row r="39" ht="48" customHeight="1">
      <x:c r="A39" s="69" t="str">
        <x:v>生活品质（Quality of Life）</x:v>
      </x:c>
      <x:c r="B39" s="70" t="n">
        <x:v>0.2</x:v>
      </x:c>
      <x:c r="C39" s="69" t="str">
        <x:v>文化丰富（Cultural Richness）</x:v>
      </x:c>
      <x:c r="D39" s="70" t="n">
        <x:v>0.25</x:v>
      </x:c>
      <x:c r="E39" s="69" t="n">
        <x:v>40</x:v>
      </x:c>
      <x:c r="F39" s="69" t="str">
        <x:v>旅游人口（Tourist number）</x:v>
      </x:c>
      <x:c r="G39" s="71" t="n">
        <x:v>0.14</x:v>
      </x:c>
      <x:c r="H39" s="71" t="n">
        <x:f>B39*D39*G39</x:f>
        <x:v>0.007000000000000001</x:v>
      </x:c>
      <x:c r="I39" s="72" t="n">
        <x:v>1</x:v>
      </x:c>
      <x:c r="J39" s="69" t="str">
        <x:v>ADMIN_TOURISM_STAT</x:v>
      </x:c>
      <x:c r="K39" s="69" t="str">
        <x:v>ADMIN</x:v>
      </x:c>
      <x:c r="L39" s="69" t="str">
        <x:v>ADMIN</x:v>
      </x:c>
      <x:c r="M39" s="69" t="str">
        <x:v>ADM</x:v>
      </x:c>
      <x:c r="N39" s="69" t="str">
        <x:v>DIRECT_OR_SUM</x:v>
      </x:c>
      <x:c r="O39" s="69" t="str">
        <x:v>POPULATION</x:v>
      </x:c>
      <x:c r="P39" s="69" t="str">
        <x:v>Σ(AnnualTouristArrivals_admin×分配权重)</x:v>
      </x:c>
      <x:c r="Q39" s="69" t="str">
        <x:v>不计算；不得用面积比例伪造物理边界统计值。</x:v>
      </x:c>
      <x:c r="R39" s="69" t="str">
        <x:v>按 assigned_admin_fragments 及指标适用权重聚合，率值先汇总分子分母后重算。</x:v>
      </x:c>
      <x:c r="S39" s="69" t="str">
        <x:v>不适用。</x:v>
      </x:c>
      <x:c r="T39" s="69" t="str">
        <x:v>V2已定义</x:v>
      </x:c>
      <x:c r="U39" s="69" t="str">
        <x:v>统一游客人次、过夜游客或独立游客口径。</x:v>
      </x:c>
      <x:c r="V39" s="69" t="str">
        <x:v>GCI-IND-v2.3-GEE-B05</x:v>
      </x:c>
      <x:c r="W39" s="69" t="str">
        <x:v>GC100-20260827-V1.0.1</x:v>
      </x:c>
    </x:row>
    <x:row r="40" ht="48" customHeight="1">
      <x:c r="A40" s="69" t="str">
        <x:v>生活品质（Quality of Life）</x:v>
      </x:c>
      <x:c r="B40" s="70" t="n">
        <x:v>0.2</x:v>
      </x:c>
      <x:c r="C40" s="69" t="str">
        <x:v>文化丰富（Cultural Richness）</x:v>
      </x:c>
      <x:c r="D40" s="70" t="n">
        <x:v>0.25</x:v>
      </x:c>
      <x:c r="E40" s="69" t="n">
        <x:v>41</x:v>
      </x:c>
      <x:c r="F40" s="69" t="str">
        <x:v>外国人口数量（Foreign-born population）</x:v>
      </x:c>
      <x:c r="G40" s="71" t="n">
        <x:v>0.18</x:v>
      </x:c>
      <x:c r="H40" s="71" t="n">
        <x:f>B40*D40*G40</x:f>
        <x:v>0.009</x:v>
      </x:c>
      <x:c r="I40" s="72" t="n">
        <x:v>1</x:v>
      </x:c>
      <x:c r="J40" s="69" t="str">
        <x:v>ADMIN_DEMOGRAPHIC_STAT</x:v>
      </x:c>
      <x:c r="K40" s="69" t="str">
        <x:v>ADMIN</x:v>
      </x:c>
      <x:c r="L40" s="69" t="str">
        <x:v>ADMIN</x:v>
      </x:c>
      <x:c r="M40" s="69" t="str">
        <x:v>ADM</x:v>
      </x:c>
      <x:c r="N40" s="69" t="str">
        <x:v>SUM</x:v>
      </x:c>
      <x:c r="O40" s="69" t="str">
        <x:v>POPULATION</x:v>
      </x:c>
      <x:c r="P40" s="69" t="str">
        <x:v>Σ(ForeignBornPopulation_admin×人口权重)</x:v>
      </x:c>
      <x:c r="Q40" s="69" t="str">
        <x:v>不计算；不得用面积比例伪造物理边界统计值。</x:v>
      </x:c>
      <x:c r="R40" s="69" t="str">
        <x:v>按 assigned_admin_fragments 及指标适用权重聚合，率值先汇总分子分母后重算。</x:v>
      </x:c>
      <x:c r="S40" s="69" t="str">
        <x:v>不适用。</x:v>
      </x:c>
      <x:c r="T40" s="69" t="str">
        <x:v>V2已定义</x:v>
      </x:c>
      <x:c r="U40" s="69" t="str">
        <x:v>需区分外国出生与外国国籍。</x:v>
      </x:c>
      <x:c r="V40" s="69" t="str">
        <x:v>GCI-IND-v2.3-GEE-B05</x:v>
      </x:c>
      <x:c r="W40" s="69" t="str">
        <x:v>GC100-20260827-V1.0.1</x:v>
      </x:c>
    </x:row>
    <x:row r="41" ht="48" customHeight="1">
      <x:c r="A41" s="69" t="str">
        <x:v>生活品质（Quality of Life）</x:v>
      </x:c>
      <x:c r="B41" s="70" t="n">
        <x:v>0.2</x:v>
      </x:c>
      <x:c r="C41" s="69" t="str">
        <x:v>文化丰富（Cultural Richness）</x:v>
      </x:c>
      <x:c r="D41" s="70" t="n">
        <x:v>0.25</x:v>
      </x:c>
      <x:c r="E41" s="69" t="n">
        <x:v>42</x:v>
      </x:c>
      <x:c r="F41" s="69" t="str">
        <x:v>世界遗迹数量（Proximity to World Heritage Sites）</x:v>
      </x:c>
      <x:c r="G41" s="71" t="n">
        <x:v>0.18</x:v>
      </x:c>
      <x:c r="H41" s="71" t="n">
        <x:f>B41*D41*G41</x:f>
        <x:v>0.009</x:v>
      </x:c>
      <x:c r="I41" s="72" t="n">
        <x:v>1</x:v>
      </x:c>
      <x:c r="J41" s="69" t="str">
        <x:v>GEOCODED_POINT_POLYGON</x:v>
      </x:c>
      <x:c r="K41" s="69" t="str">
        <x:v>DUAL</x:v>
      </x:c>
      <x:c r="L41" s="69" t="str">
        <x:v>DUAL</x:v>
      </x:c>
      <x:c r="M41" s="69" t="str">
        <x:v>PHY + ADM</x:v>
      </x:c>
      <x:c r="N41" s="69" t="str">
        <x:v>DEDUP_COUNT</x:v>
      </x:c>
      <x:c r="O41" s="69" t="str">
        <x:v>POINT_IN_POLYGON</x:v>
      </x:c>
      <x:c r="P41" s="69" t="str">
        <x:v>CountDistinct(WorldHeritageSite_ID intersecting boundary)</x:v>
      </x:c>
      <x:c r="Q41" s="69" t="str">
        <x:v>在 city_100km_ultimate 物理边界内独立计算。</x:v>
      </x:c>
      <x:c r="R41" s="69" t="str">
        <x:v>在对应行政片段/行政统计口径内独立计算。</x:v>
      </x:c>
      <x:c r="S41" s="69" t="str">
        <x:v>同一源数据、同一年度、同一算法分别运行两次，输出 *_PHY 与 *_ADM；两值不相加、不平均。</x:v>
      </x:c>
      <x:c r="T41" s="69" t="str">
        <x:v>V2已定义</x:v>
      </x:c>
      <x:c r="U41" s="69" t="str">
        <x:v>跨界遗产地只计一次，并可另存距离。</x:v>
      </x:c>
      <x:c r="V41" s="69" t="str">
        <x:v>GCI-IND-v2.3-GEE-B05</x:v>
      </x:c>
      <x:c r="W41" s="69" t="str">
        <x:v>GC100-20260827-V1.0.1</x:v>
      </x:c>
    </x:row>
    <x:row r="42" ht="48" customHeight="1">
      <x:c r="A42" s="69" t="str">
        <x:v>生活品质（Quality of Life）</x:v>
      </x:c>
      <x:c r="B42" s="70" t="n">
        <x:v>0.2</x:v>
      </x:c>
      <x:c r="C42" s="69" t="str">
        <x:v>文化丰富（Cultural Richness）</x:v>
      </x:c>
      <x:c r="D42" s="70" t="n">
        <x:v>0.25</x:v>
      </x:c>
      <x:c r="E42" s="69" t="n">
        <x:v>43</x:v>
      </x:c>
      <x:c r="F42" s="69" t="str">
        <x:v>文娱活动事件（Cultural and recreational events）</x:v>
      </x:c>
      <x:c r="G42" s="71" t="n">
        <x:v>0.18</x:v>
      </x:c>
      <x:c r="H42" s="71" t="n">
        <x:f>B42*D42*G42</x:f>
        <x:v>0.009</x:v>
      </x:c>
      <x:c r="I42" s="72" t="n">
        <x:v>1</x:v>
      </x:c>
      <x:c r="J42" s="69" t="str">
        <x:v>GEOCODED_EVENT</x:v>
      </x:c>
      <x:c r="K42" s="69" t="str">
        <x:v>DUAL</x:v>
      </x:c>
      <x:c r="L42" s="69" t="str">
        <x:v>DUAL</x:v>
      </x:c>
      <x:c r="M42" s="69" t="str">
        <x:v>PHY + ADM</x:v>
      </x:c>
      <x:c r="N42" s="69" t="str">
        <x:v>DEDUP_COUNT</x:v>
      </x:c>
      <x:c r="O42" s="69" t="str">
        <x:v>POINT_IN_POLYGON</x:v>
      </x:c>
      <x:c r="P42" s="69" t="str">
        <x:v>CountDistinct(CulturalEvent_ID within boundary and year)</x:v>
      </x:c>
      <x:c r="Q42" s="69" t="str">
        <x:v>在 city_100km_ultimate 物理边界内独立计算。</x:v>
      </x:c>
      <x:c r="R42" s="69" t="str">
        <x:v>在对应行政片段/行政统计口径内独立计算。</x:v>
      </x:c>
      <x:c r="S42" s="69" t="str">
        <x:v>同一源数据、同一年度、同一算法分别运行两次，输出 *_PHY 与 *_ADM；两值不相加、不平均。</x:v>
      </x:c>
      <x:c r="T42" s="69" t="str">
        <x:v>V2已定义</x:v>
      </x:c>
      <x:c r="U42" s="69" t="str">
        <x:v>统一事件时间窗。</x:v>
      </x:c>
      <x:c r="V42" s="69" t="str">
        <x:v>GCI-IND-v2.3-GEE-B05</x:v>
      </x:c>
      <x:c r="W42" s="69" t="str">
        <x:v>GC100-20260827-V1.0.1</x:v>
      </x:c>
    </x:row>
    <x:row r="43" ht="48" customHeight="1">
      <x:c r="A43" s="69" t="str">
        <x:v>生活品质（Quality of Life）</x:v>
      </x:c>
      <x:c r="B43" s="70" t="n">
        <x:v>0.2</x:v>
      </x:c>
      <x:c r="C43" s="69" t="str">
        <x:v>生活品质/民生（Quality of Life）</x:v>
      </x:c>
      <x:c r="D43" s="70" t="n">
        <x:v>0.3</x:v>
      </x:c>
      <x:c r="E43" s="69" t="n">
        <x:v>44</x:v>
      </x:c>
      <x:c r="F43" s="69" t="str">
        <x:v>人口平均寿命（Life expectancy）</x:v>
      </x:c>
      <x:c r="G43" s="71" t="n">
        <x:v>0.14</x:v>
      </x:c>
      <x:c r="H43" s="71" t="n">
        <x:f>B43*D43*G43</x:f>
        <x:v>0.008400000000000001</x:v>
      </x:c>
      <x:c r="I43" s="72" t="n">
        <x:v>0</x:v>
      </x:c>
      <x:c r="J43" s="69" t="str">
        <x:v>ADMIN_HEALTH_STAT</x:v>
      </x:c>
      <x:c r="K43" s="69" t="str">
        <x:v>ADMIN</x:v>
      </x:c>
      <x:c r="L43" s="69" t="str">
        <x:v>ADMIN</x:v>
      </x:c>
      <x:c r="M43" s="69" t="str">
        <x:v>ADM</x:v>
      </x:c>
      <x:c r="N43" s="69" t="str">
        <x:v>POP_WEIGHTED_MEAN</x:v>
      </x:c>
      <x:c r="O43" s="69" t="str">
        <x:v>POPULATION</x:v>
      </x:c>
      <x:c r="P43" s="69" t="str">
        <x:v>Σ(LifeExpectancy_admin×Population_admin)/Σ(Population_admin)</x:v>
      </x:c>
      <x:c r="Q43" s="69" t="str">
        <x:v>不计算；不得用面积比例伪造物理边界统计值。</x:v>
      </x:c>
      <x:c r="R43" s="69" t="str">
        <x:v>按 assigned_admin_fragments 及指标适用权重聚合，率值先汇总分子分母后重算。</x:v>
      </x:c>
      <x:c r="S43" s="69" t="str">
        <x:v>不适用。</x:v>
      </x:c>
      <x:c r="T43" s="69" t="str">
        <x:v>建议口径／待数据源确认</x:v>
      </x:c>
      <x:c r="U43" s="69" t="str">
        <x:v>优先使用城市直接统计值。</x:v>
      </x:c>
      <x:c r="V43" s="69" t="str">
        <x:v>GCI-IND-v2.3-GEE-B05</x:v>
      </x:c>
      <x:c r="W43" s="69" t="str">
        <x:v>GC100-20260827-V1.0.1</x:v>
      </x:c>
    </x:row>
    <x:row r="44" ht="48" customHeight="1">
      <x:c r="A44" s="69" t="str">
        <x:v>生活品质（Quality of Life）</x:v>
      </x:c>
      <x:c r="B44" s="70" t="n">
        <x:v>0.2</x:v>
      </x:c>
      <x:c r="C44" s="69" t="str">
        <x:v>生活品质/民生（Quality of Life）</x:v>
      </x:c>
      <x:c r="D44" s="70" t="n">
        <x:v>0.3</x:v>
      </x:c>
      <x:c r="E44" s="69" t="n">
        <x:v>45</x:v>
      </x:c>
      <x:c r="F44" s="69" t="str">
        <x:v>人均收入（Income per person）</x:v>
      </x:c>
      <x:c r="G44" s="71" t="n">
        <x:v>0.14</x:v>
      </x:c>
      <x:c r="H44" s="71" t="n">
        <x:f>B44*D44*G44</x:f>
        <x:v>0.008400000000000001</x:v>
      </x:c>
      <x:c r="I44" s="72" t="n">
        <x:v>0</x:v>
      </x:c>
      <x:c r="J44" s="69" t="str">
        <x:v>ADMIN_INCOME_STAT</x:v>
      </x:c>
      <x:c r="K44" s="69" t="str">
        <x:v>ADMIN</x:v>
      </x:c>
      <x:c r="L44" s="69" t="str">
        <x:v>ADMIN</x:v>
      </x:c>
      <x:c r="M44" s="69" t="str">
        <x:v>ADM</x:v>
      </x:c>
      <x:c r="N44" s="69" t="str">
        <x:v>POP_WEIGHTED_MEAN</x:v>
      </x:c>
      <x:c r="O44" s="69" t="str">
        <x:v>POPULATION</x:v>
      </x:c>
      <x:c r="P44" s="69" t="str">
        <x:v>Σ(IncomePerCapita_admin×Population_admin)/Σ(Population_admin)</x:v>
      </x:c>
      <x:c r="Q44" s="69" t="str">
        <x:v>不计算；不得用面积比例伪造物理边界统计值。</x:v>
      </x:c>
      <x:c r="R44" s="69" t="str">
        <x:v>按 assigned_admin_fragments 及指标适用权重聚合，率值先汇总分子分母后重算。</x:v>
      </x:c>
      <x:c r="S44" s="69" t="str">
        <x:v>不适用。</x:v>
      </x:c>
      <x:c r="T44" s="69" t="str">
        <x:v>建议口径／待数据源确认</x:v>
      </x:c>
      <x:c r="U44" s="69" t="str">
        <x:v>统一币价、PPP和年份。</x:v>
      </x:c>
      <x:c r="V44" s="69" t="str">
        <x:v>GCI-IND-v2.3-GEE-B05</x:v>
      </x:c>
      <x:c r="W44" s="69" t="str">
        <x:v>GC100-20260827-V1.0.1</x:v>
      </x:c>
    </x:row>
    <x:row r="45" ht="48" customHeight="1">
      <x:c r="A45" s="69" t="str">
        <x:v>生活品质（Quality of Life）</x:v>
      </x:c>
      <x:c r="B45" s="70" t="n">
        <x:v>0.2</x:v>
      </x:c>
      <x:c r="C45" s="69" t="str">
        <x:v>生活品质/民生（Quality of Life）</x:v>
      </x:c>
      <x:c r="D45" s="70" t="n">
        <x:v>0.3</x:v>
      </x:c>
      <x:c r="E45" s="69" t="n">
        <x:v>46</x:v>
      </x:c>
      <x:c r="F45" s="69" t="str">
        <x:v>房价（Housing expenditure）</x:v>
      </x:c>
      <x:c r="G45" s="71" t="n">
        <x:v>0.12</x:v>
      </x:c>
      <x:c r="H45" s="71" t="n">
        <x:f>B45*D45*G45</x:f>
        <x:v>0.0072</x:v>
      </x:c>
      <x:c r="I45" s="72" t="n">
        <x:v>0</x:v>
      </x:c>
      <x:c r="J45" s="69" t="str">
        <x:v>ADMIN_HOUSING_STAT</x:v>
      </x:c>
      <x:c r="K45" s="69" t="str">
        <x:v>ADMIN</x:v>
      </x:c>
      <x:c r="L45" s="69" t="str">
        <x:v>ADMIN</x:v>
      </x:c>
      <x:c r="M45" s="69" t="str">
        <x:v>ADM</x:v>
      </x:c>
      <x:c r="N45" s="69" t="str">
        <x:v>MEDIAN_OR_POP_WEIGHTED_MEAN</x:v>
      </x:c>
      <x:c r="O45" s="69" t="str">
        <x:v>POPULATION</x:v>
      </x:c>
      <x:c r="P45" s="69" t="str">
        <x:v>优先合并微观样本重算中位数；否则人口加权均值</x:v>
      </x:c>
      <x:c r="Q45" s="69" t="str">
        <x:v>不计算；不得用面积比例伪造物理边界统计值。</x:v>
      </x:c>
      <x:c r="R45" s="69" t="str">
        <x:v>按 assigned_admin_fragments 及指标适用权重聚合，率值先汇总分子分母后重算。</x:v>
      </x:c>
      <x:c r="S45" s="69" t="str">
        <x:v>不适用。</x:v>
      </x:c>
      <x:c r="T45" s="69" t="str">
        <x:v>建议口径／待数据源确认</x:v>
      </x:c>
      <x:c r="U45" s="69" t="str">
        <x:v>明确房价、房租或住房支出占比。</x:v>
      </x:c>
      <x:c r="V45" s="69" t="str">
        <x:v>GCI-IND-v2.3-GEE-B05</x:v>
      </x:c>
      <x:c r="W45" s="69" t="str">
        <x:v>GC100-20260827-V1.0.1</x:v>
      </x:c>
    </x:row>
    <x:row r="46" ht="48" customHeight="1">
      <x:c r="A46" s="69" t="str">
        <x:v>生活品质（Quality of Life）</x:v>
      </x:c>
      <x:c r="B46" s="70" t="n">
        <x:v>0.2</x:v>
      </x:c>
      <x:c r="C46" s="69" t="str">
        <x:v>生活品质/民生（Quality of Life）</x:v>
      </x:c>
      <x:c r="D46" s="70" t="n">
        <x:v>0.3</x:v>
      </x:c>
      <x:c r="E46" s="69" t="n">
        <x:v>47</x:v>
      </x:c>
      <x:c r="F46" s="69" t="str">
        <x:v>最低工资标准（Wage Level）</x:v>
      </x:c>
      <x:c r="G46" s="71" t="n">
        <x:v>0.14</x:v>
      </x:c>
      <x:c r="H46" s="71" t="n">
        <x:f>B46*D46*G46</x:f>
        <x:v>0.008400000000000001</x:v>
      </x:c>
      <x:c r="I46" s="72" t="n">
        <x:v>0</x:v>
      </x:c>
      <x:c r="J46" s="69" t="str">
        <x:v>ADMIN_POLICY_STAT</x:v>
      </x:c>
      <x:c r="K46" s="69" t="str">
        <x:v>ADMIN</x:v>
      </x:c>
      <x:c r="L46" s="69" t="str">
        <x:v>ADMIN</x:v>
      </x:c>
      <x:c r="M46" s="69" t="str">
        <x:v>ADM</x:v>
      </x:c>
      <x:c r="N46" s="69" t="str">
        <x:v>DIRECT_OR_POP_WEIGHTED_MEAN</x:v>
      </x:c>
      <x:c r="O46" s="69" t="str">
        <x:v>POPULATION</x:v>
      </x:c>
      <x:c r="P46" s="69" t="str">
        <x:v>城市直接值；多行政单元时按就业人口加权</x:v>
      </x:c>
      <x:c r="Q46" s="69" t="str">
        <x:v>不计算；不得用面积比例伪造物理边界统计值。</x:v>
      </x:c>
      <x:c r="R46" s="69" t="str">
        <x:v>按 assigned_admin_fragments 及指标适用权重聚合，率值先汇总分子分母后重算。</x:v>
      </x:c>
      <x:c r="S46" s="69" t="str">
        <x:v>不适用。</x:v>
      </x:c>
      <x:c r="T46" s="69" t="str">
        <x:v>建议口径／待数据源确认</x:v>
      </x:c>
      <x:c r="U46" s="69" t="str">
        <x:v>统一时薪、月薪或最低工资指数。</x:v>
      </x:c>
      <x:c r="V46" s="69" t="str">
        <x:v>GCI-IND-v2.3-GEE-B05</x:v>
      </x:c>
      <x:c r="W46" s="69" t="str">
        <x:v>GC100-20260827-V1.0.1</x:v>
      </x:c>
    </x:row>
    <x:row r="47" ht="48" customHeight="1">
      <x:c r="A47" s="69" t="str">
        <x:v>生活品质（Quality of Life）</x:v>
      </x:c>
      <x:c r="B47" s="70" t="n">
        <x:v>0.2</x:v>
      </x:c>
      <x:c r="C47" s="69" t="str">
        <x:v>生活品质/民生（Quality of Life）</x:v>
      </x:c>
      <x:c r="D47" s="70" t="n">
        <x:v>0.3</x:v>
      </x:c>
      <x:c r="E47" s="69" t="n">
        <x:v>48</x:v>
      </x:c>
      <x:c r="F47" s="69" t="str">
        <x:v>居民消费水平（Residence Tax Rate）</x:v>
      </x:c>
      <x:c r="G47" s="71" t="n">
        <x:v>0.12</x:v>
      </x:c>
      <x:c r="H47" s="71" t="n">
        <x:f>B47*D47*G47</x:f>
        <x:v>0.0072</x:v>
      </x:c>
      <x:c r="I47" s="72" t="n">
        <x:v>0</x:v>
      </x:c>
      <x:c r="J47" s="69" t="str">
        <x:v>ADMIN_CONSUMPTION_STAT</x:v>
      </x:c>
      <x:c r="K47" s="69" t="str">
        <x:v>ADMIN</x:v>
      </x:c>
      <x:c r="L47" s="69" t="str">
        <x:v>ADMIN</x:v>
      </x:c>
      <x:c r="M47" s="69" t="str">
        <x:v>ADM</x:v>
      </x:c>
      <x:c r="N47" s="69" t="str">
        <x:v>DIRECT_OR_POP_WEIGHTED_MEAN</x:v>
      </x:c>
      <x:c r="O47" s="69" t="str">
        <x:v>POPULATION</x:v>
      </x:c>
      <x:c r="P47" s="69" t="str">
        <x:v>城市直接值；多行政单元时按人口加权</x:v>
      </x:c>
      <x:c r="Q47" s="69" t="str">
        <x:v>不计算；不得用面积比例伪造物理边界统计值。</x:v>
      </x:c>
      <x:c r="R47" s="69" t="str">
        <x:v>按 assigned_admin_fragments 及指标适用权重聚合，率值先汇总分子分母后重算。</x:v>
      </x:c>
      <x:c r="S47" s="69" t="str">
        <x:v>不适用。</x:v>
      </x:c>
      <x:c r="T47" s="69" t="str">
        <x:v>建议口径／待数据源确认</x:v>
      </x:c>
      <x:c r="U47" s="69" t="str">
        <x:v>中英文含义不一致，需确认消费水平或税率。</x:v>
      </x:c>
      <x:c r="V47" s="69" t="str">
        <x:v>GCI-IND-v2.3-GEE-B05</x:v>
      </x:c>
      <x:c r="W47" s="69" t="str">
        <x:v>GC100-20260827-V1.0.1</x:v>
      </x:c>
    </x:row>
    <x:row r="48" ht="48" customHeight="1">
      <x:c r="A48" s="69" t="str">
        <x:v>生活品质（Quality of Life）</x:v>
      </x:c>
      <x:c r="B48" s="70" t="n">
        <x:v>0.2</x:v>
      </x:c>
      <x:c r="C48" s="69" t="str">
        <x:v>生活品质/民生（Quality of Life）</x:v>
      </x:c>
      <x:c r="D48" s="70" t="n">
        <x:v>0.3</x:v>
      </x:c>
      <x:c r="E48" s="69" t="n">
        <x:v>49</x:v>
      </x:c>
      <x:c r="F48" s="69" t="str">
        <x:v>每周工作时长（Total Working Hours per Capita）</x:v>
      </x:c>
      <x:c r="G48" s="71" t="n">
        <x:v>0.1</x:v>
      </x:c>
      <x:c r="H48" s="71" t="n">
        <x:f>B48*D48*G48</x:f>
        <x:v>0.006</x:v>
      </x:c>
      <x:c r="I48" s="72" t="n">
        <x:v>0</x:v>
      </x:c>
      <x:c r="J48" s="69" t="str">
        <x:v>ADMIN_LABOR_STAT</x:v>
      </x:c>
      <x:c r="K48" s="69" t="str">
        <x:v>ADMIN</x:v>
      </x:c>
      <x:c r="L48" s="69" t="str">
        <x:v>ADMIN</x:v>
      </x:c>
      <x:c r="M48" s="69" t="str">
        <x:v>ADM</x:v>
      </x:c>
      <x:c r="N48" s="69" t="str">
        <x:v>EMPLOYMENT_WEIGHTED_MEAN</x:v>
      </x:c>
      <x:c r="O48" s="69" t="str">
        <x:v>EMPLOYMENT</x:v>
      </x:c>
      <x:c r="P48" s="69" t="str">
        <x:v>Σ(WorkingHours_admin×Employment_admin)/Σ(Employment_admin)</x:v>
      </x:c>
      <x:c r="Q48" s="69" t="str">
        <x:v>不计算；不得用面积比例伪造物理边界统计值。</x:v>
      </x:c>
      <x:c r="R48" s="69" t="str">
        <x:v>按 assigned_admin_fragments 及指标适用权重聚合，率值先汇总分子分母后重算。</x:v>
      </x:c>
      <x:c r="S48" s="69" t="str">
        <x:v>不适用。</x:v>
      </x:c>
      <x:c r="T48" s="69" t="str">
        <x:v>建议口径／待数据源确认</x:v>
      </x:c>
      <x:c r="U48" s="69" t="str">
        <x:v>统一全职/全部就业人口。</x:v>
      </x:c>
      <x:c r="V48" s="69" t="str">
        <x:v>GCI-IND-v2.3-GEE-B05</x:v>
      </x:c>
      <x:c r="W48" s="69" t="str">
        <x:v>GC100-20260827-V1.0.1</x:v>
      </x:c>
    </x:row>
    <x:row r="49" ht="48" customHeight="1">
      <x:c r="A49" s="69" t="str">
        <x:v>生活品质（Quality of Life）</x:v>
      </x:c>
      <x:c r="B49" s="70" t="n">
        <x:v>0.2</x:v>
      </x:c>
      <x:c r="C49" s="69" t="str">
        <x:v>生活品质/民生（Quality of Life）</x:v>
      </x:c>
      <x:c r="D49" s="70" t="n">
        <x:v>0.3</x:v>
      </x:c>
      <x:c r="E49" s="69" t="n">
        <x:v>50</x:v>
      </x:c>
      <x:c r="F49" s="69" t="str">
        <x:v>居民可支配收入（Disposable income）</x:v>
      </x:c>
      <x:c r="G49" s="71" t="n">
        <x:v>0.14</x:v>
      </x:c>
      <x:c r="H49" s="71" t="n">
        <x:f>B49*D49*G49</x:f>
        <x:v>0.008400000000000001</x:v>
      </x:c>
      <x:c r="I49" s="72" t="n">
        <x:v>0</x:v>
      </x:c>
      <x:c r="J49" s="69" t="str">
        <x:v>ADMIN_INCOME_STAT</x:v>
      </x:c>
      <x:c r="K49" s="69" t="str">
        <x:v>ADMIN</x:v>
      </x:c>
      <x:c r="L49" s="69" t="str">
        <x:v>ADMIN</x:v>
      </x:c>
      <x:c r="M49" s="69" t="str">
        <x:v>ADM</x:v>
      </x:c>
      <x:c r="N49" s="69" t="str">
        <x:v>POP_WEIGHTED_MEAN</x:v>
      </x:c>
      <x:c r="O49" s="69" t="str">
        <x:v>POPULATION</x:v>
      </x:c>
      <x:c r="P49" s="69" t="str">
        <x:v>Σ(DisposableIncomePC_admin×Population_admin)/Σ(Population_admin)</x:v>
      </x:c>
      <x:c r="Q49" s="69" t="str">
        <x:v>不计算；不得用面积比例伪造物理边界统计值。</x:v>
      </x:c>
      <x:c r="R49" s="69" t="str">
        <x:v>按 assigned_admin_fragments 及指标适用权重聚合，率值先汇总分子分母后重算。</x:v>
      </x:c>
      <x:c r="S49" s="69" t="str">
        <x:v>不适用。</x:v>
      </x:c>
      <x:c r="T49" s="69" t="str">
        <x:v>建议口径／待数据源确认</x:v>
      </x:c>
      <x:c r="U49" s="69" t="str">
        <x:v>统一币价和PPP。</x:v>
      </x:c>
      <x:c r="V49" s="69" t="str">
        <x:v>GCI-IND-v2.3-GEE-B05</x:v>
      </x:c>
      <x:c r="W49" s="69" t="str">
        <x:v>GC100-20260827-V1.0.1</x:v>
      </x:c>
    </x:row>
    <x:row r="50" ht="48" customHeight="1">
      <x:c r="A50" s="69" t="str">
        <x:v>生活品质（Quality of Life）</x:v>
      </x:c>
      <x:c r="B50" s="70" t="n">
        <x:v>0.2</x:v>
      </x:c>
      <x:c r="C50" s="69" t="str">
        <x:v>生活品质/民生（Quality of Life）</x:v>
      </x:c>
      <x:c r="D50" s="70" t="n">
        <x:v>0.3</x:v>
      </x:c>
      <x:c r="E50" s="69" t="n">
        <x:v>51</x:v>
      </x:c>
      <x:c r="F50" s="69" t="str">
        <x:v>恩格尔系数（Engel coefficient）</x:v>
      </x:c>
      <x:c r="G50" s="71" t="n">
        <x:v>0.1</x:v>
      </x:c>
      <x:c r="H50" s="71" t="n">
        <x:f>B50*D50*G50</x:f>
        <x:v>0.006</x:v>
      </x:c>
      <x:c r="I50" s="72" t="n">
        <x:v>0</x:v>
      </x:c>
      <x:c r="J50" s="69" t="str">
        <x:v>ADMIN_HOUSEHOLD_STAT</x:v>
      </x:c>
      <x:c r="K50" s="69" t="str">
        <x:v>ADMIN</x:v>
      </x:c>
      <x:c r="L50" s="69" t="str">
        <x:v>ADMIN</x:v>
      </x:c>
      <x:c r="M50" s="69" t="str">
        <x:v>ADM</x:v>
      </x:c>
      <x:c r="N50" s="69" t="str">
        <x:v>RATIO_RECALC</x:v>
      </x:c>
      <x:c r="O50" s="69" t="str">
        <x:v>HOUSEHOLD_EXPENDITURE</x:v>
      </x:c>
      <x:c r="P50" s="69" t="str">
        <x:v>Σ(FoodExpenditure)/Σ(TotalConsumptionExpenditure)×100%</x:v>
      </x:c>
      <x:c r="Q50" s="69" t="str">
        <x:v>不计算；不得用面积比例伪造物理边界统计值。</x:v>
      </x:c>
      <x:c r="R50" s="69" t="str">
        <x:v>按 assigned_admin_fragments 及指标适用权重聚合，率值先汇总分子分母后重算。</x:v>
      </x:c>
      <x:c r="S50" s="69" t="str">
        <x:v>不适用。</x:v>
      </x:c>
      <x:c r="T50" s="69" t="str">
        <x:v>建议口径／待数据源确认</x:v>
      </x:c>
      <x:c r="U50" s="69" t="str">
        <x:v>不能直接平均行政区恩格尔系数。</x:v>
      </x:c>
      <x:c r="V50" s="69" t="str">
        <x:v>GCI-IND-v2.3-GEE-B05</x:v>
      </x:c>
      <x:c r="W50" s="69" t="str">
        <x:v>GC100-20260827-V1.0.1</x:v>
      </x:c>
    </x:row>
    <x:row r="51" ht="66" customHeight="1">
      <x:c r="A51" s="69" t="str">
        <x:v>环境友好（Environmental Friendliness）</x:v>
      </x:c>
      <x:c r="B51" s="70" t="n">
        <x:v>0.15</x:v>
      </x:c>
      <x:c r="C51" s="69" t="str">
        <x:v>蓝-绿空间（Green-Blue Space）</x:v>
      </x:c>
      <x:c r="D51" s="70" t="n">
        <x:v>0.4</x:v>
      </x:c>
      <x:c r="E51" s="69" t="n">
        <x:v>58</x:v>
      </x:c>
      <x:c r="F51" s="69" t="str">
        <x:v>绿地面积与绿度（Greenspace area and NDVI greenness）</x:v>
      </x:c>
      <x:c r="G51" s="71" t="n">
        <x:v>0.1</x:v>
      </x:c>
      <x:c r="H51" s="71" t="n">
        <x:f>B51*D51*G51</x:f>
        <x:v>0.006</x:v>
      </x:c>
      <x:c r="I51" s="72" t="n">
        <x:v>1</x:v>
      </x:c>
      <x:c r="J51" s="69" t="str">
        <x:v>LAND_COVER_AND_NDVI_RASTERS</x:v>
      </x:c>
      <x:c r="K51" s="69" t="str">
        <x:v>DUAL</x:v>
      </x:c>
      <x:c r="L51" s="69" t="str">
        <x:v>DUAL</x:v>
      </x:c>
      <x:c r="M51" s="69" t="str">
        <x:v>PHY + ADM</x:v>
      </x:c>
      <x:c r="N51" s="69" t="str">
        <x:v>SUM_WITH_PARALLEL_MEAN</x:v>
      </x:c>
      <x:c r="O51" s="69" t="str">
        <x:v>DIRECT_CLIP</x:v>
      </x:c>
      <x:c r="P51" s="69" t="str">
        <x:v>正式输出：Σ(PixelArea | WorldCover class∈{10,20,30})/10^6、GreenShare、面积加权Mean NDVI及变化量</x:v>
      </x:c>
      <x:c r="Q51" s="69" t="str">
        <x:v>在 city_100km_ultimate 物理边界内独立计算。</x:v>
      </x:c>
      <x:c r="R51" s="69" t="str">
        <x:v>在对应行政片段/行政统计口径内独立计算。</x:v>
      </x:c>
      <x:c r="S51" s="69" t="str">
        <x:v>同一源数据、同一年度、同一算法分别运行两次，输出 *_PHY 与 *_ADM；两值不相加、不平均。</x:v>
      </x:c>
      <x:c r="T51" s="110" t="str">
        <x:v>V2.3已锁定</x:v>
      </x:c>
      <x:c r="U51" s="69" t="str">
        <x:v>面积、覆盖率、NDVI与变化量全部作为正式指标入库。农田不计入绿地；永久水体从NDVI均值中排除。</x:v>
      </x:c>
      <x:c r="V51" s="69" t="str">
        <x:v>GCI-IND-v2.3-GEE-B05</x:v>
      </x:c>
      <x:c r="W51" s="69" t="str">
        <x:v>GC100-20260827-V1.0.1</x:v>
      </x:c>
    </x:row>
    <x:row r="52" ht="66" customHeight="1">
      <x:c r="A52" s="69" t="str">
        <x:v>环境友好（Environmental Friendliness）</x:v>
      </x:c>
      <x:c r="B52" s="70" t="n">
        <x:v>0.15</x:v>
      </x:c>
      <x:c r="C52" s="69" t="str">
        <x:v>蓝-绿空间（Green-Blue Space）</x:v>
      </x:c>
      <x:c r="D52" s="70" t="n">
        <x:v>0.4</x:v>
      </x:c>
      <x:c r="E52" s="69" t="n">
        <x:v>59</x:v>
      </x:c>
      <x:c r="F52" s="69" t="str">
        <x:v>绿度空间暴露（Population-weighted NDVI exposure）</x:v>
      </x:c>
      <x:c r="G52" s="71" t="n">
        <x:v>0.12</x:v>
      </x:c>
      <x:c r="H52" s="71" t="n">
        <x:f>B52*D52*G52</x:f>
        <x:v>0.0072</x:v>
      </x:c>
      <x:c r="I52" s="72" t="n">
        <x:v>1</x:v>
      </x:c>
      <x:c r="J52" s="69" t="str">
        <x:v>NDVI_RASTER_AND_POP_GRID</x:v>
      </x:c>
      <x:c r="K52" s="69" t="str">
        <x:v>DUAL</x:v>
      </x:c>
      <x:c r="L52" s="69" t="str">
        <x:v>DUAL</x:v>
      </x:c>
      <x:c r="M52" s="69" t="str">
        <x:v>PHY + ADM</x:v>
      </x:c>
      <x:c r="N52" s="69" t="str">
        <x:v>POP_WEIGHTED_MEAN</x:v>
      </x:c>
      <x:c r="O52" s="69" t="str">
        <x:v>POPULATION_GRID</x:v>
      </x:c>
      <x:c r="P52" s="69" t="str">
        <x:v>Σ(NDVI_i×Population_i)/Σ(Population_i)；NDVI与人口采用同一年</x:v>
      </x:c>
      <x:c r="Q52" s="69" t="str">
        <x:v>在 city_100km_ultimate 物理边界内独立计算。</x:v>
      </x:c>
      <x:c r="R52" s="69" t="str">
        <x:v>在对应行政片段/行政统计口径内独立计算。</x:v>
      </x:c>
      <x:c r="S52" s="69" t="str">
        <x:v>同一源数据、同一年度、同一算法分别运行两次，输出 *_PHY 与 *_ADM；两值不相加、不平均。</x:v>
      </x:c>
      <x:c r="T52" s="110" t="str">
        <x:v>V2.3已锁定</x:v>
      </x:c>
      <x:c r="U52" s="69" t="str">
        <x:v>正式入库值为POP_WEIGHTED_NDVI_2020；使用MOD13Q1 v061与GHSL 2020人口。</x:v>
      </x:c>
      <x:c r="V52" s="69" t="str">
        <x:v>GCI-IND-v2.3-GEE-B05</x:v>
      </x:c>
      <x:c r="W52" s="69" t="str">
        <x:v>GC100-20260827-V1.0.1</x:v>
      </x:c>
    </x:row>
    <x:row r="53" ht="66" customHeight="1">
      <x:c r="A53" s="69" t="str">
        <x:v>环境友好（Environmental Friendliness）</x:v>
      </x:c>
      <x:c r="B53" s="70" t="n">
        <x:v>0.15</x:v>
      </x:c>
      <x:c r="C53" s="69" t="str">
        <x:v>蓝-绿空间（Green-Blue Space）</x:v>
      </x:c>
      <x:c r="D53" s="70" t="n">
        <x:v>0.4</x:v>
      </x:c>
      <x:c r="E53" s="69" t="n">
        <x:v>60</x:v>
      </x:c>
      <x:c r="F53" s="69" t="str">
        <x:v>树木覆盖面积与比例（Tree-covered area and share）</x:v>
      </x:c>
      <x:c r="G53" s="71" t="n">
        <x:v>0.18</x:v>
      </x:c>
      <x:c r="H53" s="71" t="n">
        <x:f>B53*D53*G53</x:f>
        <x:v>0.010799999999999999</x:v>
      </x:c>
      <x:c r="I53" s="72" t="n">
        <x:v>1</x:v>
      </x:c>
      <x:c r="J53" s="69" t="str">
        <x:v>LAND_COVER_RASTER</x:v>
      </x:c>
      <x:c r="K53" s="69" t="str">
        <x:v>DUAL</x:v>
      </x:c>
      <x:c r="L53" s="69" t="str">
        <x:v>DUAL</x:v>
      </x:c>
      <x:c r="M53" s="69" t="str">
        <x:v>PHY + ADM</x:v>
      </x:c>
      <x:c r="N53" s="69" t="str">
        <x:v>SUM_WITH_PARALLEL_SHARE</x:v>
      </x:c>
      <x:c r="O53" s="69" t="str">
        <x:v>DIRECT_CLIP</x:v>
      </x:c>
      <x:c r="P53" s="69" t="str">
        <x:v>正式输出：Σ(PixelArea | WorldCover class=10)/10^6；TreeArea/LandArea×100%</x:v>
      </x:c>
      <x:c r="Q53" s="69" t="str">
        <x:v>在 city_100km_ultimate 物理边界内独立计算。</x:v>
      </x:c>
      <x:c r="R53" s="69" t="str">
        <x:v>在对应行政片段/行政统计口径内独立计算。</x:v>
      </x:c>
      <x:c r="S53" s="69" t="str">
        <x:v>同一源数据、同一年度、同一算法分别运行两次，输出 *_PHY 与 *_ADM；两值不相加、不平均。</x:v>
      </x:c>
      <x:c r="T53" s="110" t="str">
        <x:v>V2.3已锁定</x:v>
      </x:c>
      <x:c r="U53" s="69" t="str">
        <x:v>ESA WorldCover v200（2021）；面积与覆盖率均为正式指标。</x:v>
      </x:c>
      <x:c r="V53" s="69" t="str">
        <x:v>GCI-IND-v2.3-GEE-B05</x:v>
      </x:c>
      <x:c r="W53" s="69" t="str">
        <x:v>GC100-20260827-V1.0.1</x:v>
      </x:c>
    </x:row>
    <x:row r="54" ht="66" customHeight="1">
      <x:c r="A54" s="69" t="str">
        <x:v>环境友好（Environmental Friendliness）</x:v>
      </x:c>
      <x:c r="B54" s="70" t="n">
        <x:v>0.15</x:v>
      </x:c>
      <x:c r="C54" s="69" t="str">
        <x:v>蓝-绿空间（Green-Blue Space）</x:v>
      </x:c>
      <x:c r="D54" s="70" t="n">
        <x:v>0.4</x:v>
      </x:c>
      <x:c r="E54" s="69" t="n">
        <x:v>61</x:v>
      </x:c>
      <x:c r="F54" s="69" t="str">
        <x:v>灌木覆盖面积与比例（Shrubland area and share）</x:v>
      </x:c>
      <x:c r="G54" s="71" t="n">
        <x:v>0.14</x:v>
      </x:c>
      <x:c r="H54" s="71" t="n">
        <x:f>B54*D54*G54</x:f>
        <x:v>0.008400000000000001</x:v>
      </x:c>
      <x:c r="I54" s="72" t="n">
        <x:v>1</x:v>
      </x:c>
      <x:c r="J54" s="69" t="str">
        <x:v>LAND_COVER_RASTER</x:v>
      </x:c>
      <x:c r="K54" s="69" t="str">
        <x:v>DUAL</x:v>
      </x:c>
      <x:c r="L54" s="69" t="str">
        <x:v>DUAL</x:v>
      </x:c>
      <x:c r="M54" s="69" t="str">
        <x:v>PHY + ADM</x:v>
      </x:c>
      <x:c r="N54" s="69" t="str">
        <x:v>SUM_WITH_PARALLEL_SHARE</x:v>
      </x:c>
      <x:c r="O54" s="69" t="str">
        <x:v>DIRECT_CLIP</x:v>
      </x:c>
      <x:c r="P54" s="69" t="str">
        <x:v>正式输出：Σ(PixelArea | WorldCover class=20)/10^6；ShrubArea/LandArea×100%</x:v>
      </x:c>
      <x:c r="Q54" s="69" t="str">
        <x:v>在 city_100km_ultimate 物理边界内独立计算。</x:v>
      </x:c>
      <x:c r="R54" s="69" t="str">
        <x:v>在对应行政片段/行政统计口径内独立计算。</x:v>
      </x:c>
      <x:c r="S54" s="69" t="str">
        <x:v>同一源数据、同一年度、同一算法分别运行两次，输出 *_PHY 与 *_ADM；两值不相加、不平均。</x:v>
      </x:c>
      <x:c r="T54" s="110" t="str">
        <x:v>V2.3已锁定</x:v>
      </x:c>
      <x:c r="U54" s="69" t="str">
        <x:v>ESA WorldCover v200（2021）；面积与覆盖率均为正式指标。</x:v>
      </x:c>
      <x:c r="V54" s="69" t="str">
        <x:v>GCI-IND-v2.3-GEE-B05</x:v>
      </x:c>
      <x:c r="W54" s="69" t="str">
        <x:v>GC100-20260827-V1.0.1</x:v>
      </x:c>
    </x:row>
    <x:row r="55" ht="66" customHeight="1">
      <x:c r="A55" s="69" t="str">
        <x:v>环境友好（Environmental Friendliness）</x:v>
      </x:c>
      <x:c r="B55" s="70" t="n">
        <x:v>0.15</x:v>
      </x:c>
      <x:c r="C55" s="69" t="str">
        <x:v>蓝-绿空间（Green-Blue Space）</x:v>
      </x:c>
      <x:c r="D55" s="70" t="n">
        <x:v>0.4</x:v>
      </x:c>
      <x:c r="E55" s="69" t="n">
        <x:v>62</x:v>
      </x:c>
      <x:c r="F55" s="69" t="str">
        <x:v>草地覆盖面积与比例（Grassland area and share）</x:v>
      </x:c>
      <x:c r="G55" s="71" t="n">
        <x:v>0.14</x:v>
      </x:c>
      <x:c r="H55" s="71" t="n">
        <x:f>B55*D55*G55</x:f>
        <x:v>0.008400000000000001</x:v>
      </x:c>
      <x:c r="I55" s="72" t="n">
        <x:v>1</x:v>
      </x:c>
      <x:c r="J55" s="69" t="str">
        <x:v>LAND_COVER_RASTER</x:v>
      </x:c>
      <x:c r="K55" s="69" t="str">
        <x:v>DUAL</x:v>
      </x:c>
      <x:c r="L55" s="69" t="str">
        <x:v>DUAL</x:v>
      </x:c>
      <x:c r="M55" s="69" t="str">
        <x:v>PHY + ADM</x:v>
      </x:c>
      <x:c r="N55" s="69" t="str">
        <x:v>SUM_WITH_PARALLEL_SHARE</x:v>
      </x:c>
      <x:c r="O55" s="69" t="str">
        <x:v>DIRECT_CLIP</x:v>
      </x:c>
      <x:c r="P55" s="69" t="str">
        <x:v>正式输出：Σ(PixelArea | WorldCover class=30)/10^6；GrassArea/LandArea×100%</x:v>
      </x:c>
      <x:c r="Q55" s="69" t="str">
        <x:v>在 city_100km_ultimate 物理边界内独立计算。</x:v>
      </x:c>
      <x:c r="R55" s="69" t="str">
        <x:v>在对应行政片段/行政统计口径内独立计算。</x:v>
      </x:c>
      <x:c r="S55" s="69" t="str">
        <x:v>同一源数据、同一年度、同一算法分别运行两次，输出 *_PHY 与 *_ADM；两值不相加、不平均。</x:v>
      </x:c>
      <x:c r="T55" s="110" t="str">
        <x:v>V2.3已锁定</x:v>
      </x:c>
      <x:c r="U55" s="69" t="str">
        <x:v>ESA WorldCover v200（2021）；面积与覆盖率均为正式指标。</x:v>
      </x:c>
      <x:c r="V55" s="69" t="str">
        <x:v>GCI-IND-v2.3-GEE-B05</x:v>
      </x:c>
      <x:c r="W55" s="69" t="str">
        <x:v>GC100-20260827-V1.0.1</x:v>
      </x:c>
    </x:row>
    <x:row r="56" ht="66" customHeight="1">
      <x:c r="A56" s="69" t="str">
        <x:v>环境友好（Environmental Friendliness）</x:v>
      </x:c>
      <x:c r="B56" s="70" t="n">
        <x:v>0.15</x:v>
      </x:c>
      <x:c r="C56" s="69" t="str">
        <x:v>蓝-绿空间（Green-Blue Space）</x:v>
      </x:c>
      <x:c r="D56" s="70" t="n">
        <x:v>0.4</x:v>
      </x:c>
      <x:c r="E56" s="69" t="n">
        <x:v>63</x:v>
      </x:c>
      <x:c r="F56" s="69" t="str">
        <x:v>蓝空间面积与比例（Permanent water area and share）</x:v>
      </x:c>
      <x:c r="G56" s="71" t="n">
        <x:v>0.14</x:v>
      </x:c>
      <x:c r="H56" s="71" t="n">
        <x:f>B56*D56*G56</x:f>
        <x:v>0.008400000000000001</x:v>
      </x:c>
      <x:c r="I56" s="72" t="n">
        <x:v>1</x:v>
      </x:c>
      <x:c r="J56" s="69" t="str">
        <x:v>WATER_RASTER</x:v>
      </x:c>
      <x:c r="K56" s="69" t="str">
        <x:v>DUAL</x:v>
      </x:c>
      <x:c r="L56" s="69" t="str">
        <x:v>DUAL</x:v>
      </x:c>
      <x:c r="M56" s="69" t="str">
        <x:v>PHY + ADM</x:v>
      </x:c>
      <x:c r="N56" s="69" t="str">
        <x:v>SUM_WITH_PARALLEL_SHARE</x:v>
      </x:c>
      <x:c r="O56" s="69" t="str">
        <x:v>DIRECT_CLIP</x:v>
      </x:c>
      <x:c r="P56" s="69" t="str">
        <x:v>正式输出：Σ(PixelArea | JRC waterClass=3)/10^6；PermanentWaterArea/BoundaryArea×100%</x:v>
      </x:c>
      <x:c r="Q56" s="69" t="str">
        <x:v>在 city_100km_ultimate 物理边界内独立计算。</x:v>
      </x:c>
      <x:c r="R56" s="69" t="str">
        <x:v>在对应行政片段/行政统计口径内独立计算。</x:v>
      </x:c>
      <x:c r="S56" s="69" t="str">
        <x:v>同一源数据、同一年度、同一算法分别运行两次，输出 *_PHY 与 *_ADM；两值不相加、不平均。</x:v>
      </x:c>
      <x:c r="T56" s="110" t="str">
        <x:v>V2.3已锁定</x:v>
      </x:c>
      <x:c r="U56" s="69" t="str">
        <x:v>JRC Global Surface Water v1.4（2021）；永久水体面积与比例均为正式指标。</x:v>
      </x:c>
      <x:c r="V56" s="69" t="str">
        <x:v>GCI-IND-v2.3-GEE-B05</x:v>
      </x:c>
      <x:c r="W56" s="69" t="str">
        <x:v>GC100-20260827-V1.0.1</x:v>
      </x:c>
    </x:row>
    <x:row r="57" ht="48" customHeight="1">
      <x:c r="A57" s="69" t="str">
        <x:v>环境友好（Environmental Friendliness）</x:v>
      </x:c>
      <x:c r="B57" s="70" t="n">
        <x:v>0.15</x:v>
      </x:c>
      <x:c r="C57" s="69" t="str">
        <x:v>蓝-绿空间（Green-Blue Space）</x:v>
      </x:c>
      <x:c r="D57" s="70" t="n">
        <x:v>0.4</x:v>
      </x:c>
      <x:c r="E57" s="69" t="n">
        <x:v>64</x:v>
      </x:c>
      <x:c r="F57" s="69" t="str">
        <x:v>蓝度空间暴露（Bluespace exposure）</x:v>
      </x:c>
      <x:c r="G57" s="71" t="n">
        <x:v>0.18</x:v>
      </x:c>
      <x:c r="H57" s="71" t="n">
        <x:f>B57*D57*G57</x:f>
        <x:v>0.010799999999999999</x:v>
      </x:c>
      <x:c r="I57" s="72" t="n">
        <x:v>1</x:v>
      </x:c>
      <x:c r="J57" s="69" t="str">
        <x:v>WATER_RASTER_AND_POP_GRID</x:v>
      </x:c>
      <x:c r="K57" s="69" t="str">
        <x:v>DUAL</x:v>
      </x:c>
      <x:c r="L57" s="69" t="str">
        <x:v>DUAL</x:v>
      </x:c>
      <x:c r="M57" s="69" t="str">
        <x:v>PHY + ADM</x:v>
      </x:c>
      <x:c r="N57" s="69" t="str">
        <x:v>POP_WEIGHTED_MEAN</x:v>
      </x:c>
      <x:c r="O57" s="69" t="str">
        <x:v>POPULATION_GRID</x:v>
      </x:c>
      <x:c r="P57" s="69" t="str">
        <x:v>Σ(BlueExposure_i×Population_i)/Σ(Population_i)</x:v>
      </x:c>
      <x:c r="Q57" s="69" t="str">
        <x:v>在 city_100km_ultimate 物理边界内独立计算。</x:v>
      </x:c>
      <x:c r="R57" s="69" t="str">
        <x:v>在对应行政片段/行政统计口径内独立计算。</x:v>
      </x:c>
      <x:c r="S57" s="69" t="str">
        <x:v>同一源数据、同一年度、同一算法分别运行两次，输出 *_PHY 与 *_ADM；两值不相加、不平均。</x:v>
      </x:c>
      <x:c r="T57" s="69" t="str">
        <x:v>V2已定义</x:v>
      </x:c>
      <x:c r="U57" s="69" t="str">
        <x:v>需定义可视距离或缓冲距离。</x:v>
      </x:c>
      <x:c r="V57" s="69" t="str">
        <x:v>GCI-IND-v2.3-GEE-B05</x:v>
      </x:c>
      <x:c r="W57" s="69" t="str">
        <x:v>GC100-20260827-V1.0.1</x:v>
      </x:c>
    </x:row>
    <x:row r="58" ht="48" customHeight="1">
      <x:c r="A58" s="69" t="str">
        <x:v>环境友好（Environmental Friendliness）</x:v>
      </x:c>
      <x:c r="B58" s="70" t="n">
        <x:v>0.15</x:v>
      </x:c>
      <x:c r="C58" s="69" t="str">
        <x:v>极端天气暴露（Extreme Weather Exposure）</x:v>
      </x:c>
      <x:c r="D58" s="70" t="n">
        <x:v>0.6</x:v>
      </x:c>
      <x:c r="E58" s="69" t="n">
        <x:v>65</x:v>
      </x:c>
      <x:c r="F58" s="69" t="str">
        <x:v>空气质量（PM2.5）</x:v>
      </x:c>
      <x:c r="G58" s="71" t="n">
        <x:v>0.28</x:v>
      </x:c>
      <x:c r="H58" s="71" t="n">
        <x:f>B58*D58*G58</x:f>
        <x:v>0.0252</x:v>
      </x:c>
      <x:c r="I58" s="72" t="n">
        <x:v>1</x:v>
      </x:c>
      <x:c r="J58" s="69" t="str">
        <x:v>AIR_QUALITY_RASTER_AND_POP_GRID</x:v>
      </x:c>
      <x:c r="K58" s="69" t="str">
        <x:v>DUAL</x:v>
      </x:c>
      <x:c r="L58" s="69" t="str">
        <x:v>DUAL</x:v>
      </x:c>
      <x:c r="M58" s="69" t="str">
        <x:v>PHY + ADM</x:v>
      </x:c>
      <x:c r="N58" s="69" t="str">
        <x:v>POP_WEIGHTED_MEAN</x:v>
      </x:c>
      <x:c r="O58" s="69" t="str">
        <x:v>POPULATION_GRID</x:v>
      </x:c>
      <x:c r="P58" s="69" t="str">
        <x:v>Σ(PM2.5_i×Population_i)/Σ(Population_i)</x:v>
      </x:c>
      <x:c r="Q58" s="69" t="str">
        <x:v>在 city_100km_ultimate 物理边界内独立计算。</x:v>
      </x:c>
      <x:c r="R58" s="69" t="str">
        <x:v>在对应行政片段/行政统计口径内独立计算。</x:v>
      </x:c>
      <x:c r="S58" s="69" t="str">
        <x:v>同一源数据、同一年度、同一算法分别运行两次，输出 *_PHY 与 *_ADM；两值不相加、不平均。</x:v>
      </x:c>
      <x:c r="T58" s="69" t="str">
        <x:v>V2已定义</x:v>
      </x:c>
      <x:c r="U58" s="69" t="str">
        <x:v>同时可保留面积加权均值作为附加字段。</x:v>
      </x:c>
      <x:c r="V58" s="69" t="str">
        <x:v>GCI-IND-v2.3-GEE-B05</x:v>
      </x:c>
      <x:c r="W58" s="69" t="str">
        <x:v>GC100-20260827-V1.0.1</x:v>
      </x:c>
    </x:row>
    <x:row r="59" ht="48" customHeight="1">
      <x:c r="A59" s="69" t="str">
        <x:v>环境友好（Environmental Friendliness）</x:v>
      </x:c>
      <x:c r="B59" s="70" t="n">
        <x:v>0.15</x:v>
      </x:c>
      <x:c r="C59" s="69" t="str">
        <x:v>极端天气暴露（Extreme Weather Exposure）</x:v>
      </x:c>
      <x:c r="D59" s="70" t="n">
        <x:v>0.6</x:v>
      </x:c>
      <x:c r="E59" s="69" t="n">
        <x:v>66</x:v>
      </x:c>
      <x:c r="F59" s="69" t="str">
        <x:v>极端温度天数（高温和低温）（Temperature anomalies）</x:v>
      </x:c>
      <x:c r="G59" s="71" t="n">
        <x:v>0.24</x:v>
      </x:c>
      <x:c r="H59" s="71" t="n">
        <x:f>B59*D59*G59</x:f>
        <x:v>0.021599999999999998</x:v>
      </x:c>
      <x:c r="I59" s="72" t="n">
        <x:v>1</x:v>
      </x:c>
      <x:c r="J59" s="69" t="str">
        <x:v>CLIMATE_EXTREME_RASTER</x:v>
      </x:c>
      <x:c r="K59" s="69" t="str">
        <x:v>DUAL</x:v>
      </x:c>
      <x:c r="L59" s="69" t="str">
        <x:v>DUAL</x:v>
      </x:c>
      <x:c r="M59" s="69" t="str">
        <x:v>PHY + ADM</x:v>
      </x:c>
      <x:c r="N59" s="69" t="str">
        <x:v>POP_WEIGHTED_MEAN</x:v>
      </x:c>
      <x:c r="O59" s="69" t="str">
        <x:v>POPULATION_GRID</x:v>
      </x:c>
      <x:c r="P59" s="69" t="str">
        <x:v>Σ(ExtremeTempDays_i×Population_i)/Σ(Population_i)</x:v>
      </x:c>
      <x:c r="Q59" s="69" t="str">
        <x:v>在 city_100km_ultimate 物理边界内独立计算。</x:v>
      </x:c>
      <x:c r="R59" s="69" t="str">
        <x:v>在对应行政片段/行政统计口径内独立计算。</x:v>
      </x:c>
      <x:c r="S59" s="69" t="str">
        <x:v>同一源数据、同一年度、同一算法分别运行两次，输出 *_PHY 与 *_ADM；两值不相加、不平均。</x:v>
      </x:c>
      <x:c r="T59" s="69" t="str">
        <x:v>V2已定义</x:v>
      </x:c>
      <x:c r="U59" s="69" t="str">
        <x:v>高温与低温阈值需固定。</x:v>
      </x:c>
      <x:c r="V59" s="69" t="str">
        <x:v>GCI-IND-v2.3-GEE-B05</x:v>
      </x:c>
      <x:c r="W59" s="69" t="str">
        <x:v>GC100-20260827-V1.0.1</x:v>
      </x:c>
    </x:row>
    <x:row r="60" ht="48" customHeight="1">
      <x:c r="A60" s="69" t="str">
        <x:v>环境友好（Environmental Friendliness）</x:v>
      </x:c>
      <x:c r="B60" s="70" t="n">
        <x:v>0.15</x:v>
      </x:c>
      <x:c r="C60" s="69" t="str">
        <x:v>极端天气暴露（Extreme Weather Exposure）</x:v>
      </x:c>
      <x:c r="D60" s="70" t="n">
        <x:v>0.6</x:v>
      </x:c>
      <x:c r="E60" s="69" t="n">
        <x:v>67</x:v>
      </x:c>
      <x:c r="F60" s="69" t="str">
        <x:v>极端降水天数（Rainfall anomalies）</x:v>
      </x:c>
      <x:c r="G60" s="71" t="n">
        <x:v>0.24</x:v>
      </x:c>
      <x:c r="H60" s="71" t="n">
        <x:f>B60*D60*G60</x:f>
        <x:v>0.021599999999999998</x:v>
      </x:c>
      <x:c r="I60" s="72" t="n">
        <x:v>1</x:v>
      </x:c>
      <x:c r="J60" s="69" t="str">
        <x:v>CLIMATE_EXTREME_RASTER</x:v>
      </x:c>
      <x:c r="K60" s="69" t="str">
        <x:v>DUAL</x:v>
      </x:c>
      <x:c r="L60" s="69" t="str">
        <x:v>DUAL</x:v>
      </x:c>
      <x:c r="M60" s="69" t="str">
        <x:v>PHY + ADM</x:v>
      </x:c>
      <x:c r="N60" s="69" t="str">
        <x:v>POP_WEIGHTED_MEAN</x:v>
      </x:c>
      <x:c r="O60" s="69" t="str">
        <x:v>POPULATION_GRID</x:v>
      </x:c>
      <x:c r="P60" s="69" t="str">
        <x:v>Σ(ExtremeRainDays_i×Population_i)/Σ(Population_i)</x:v>
      </x:c>
      <x:c r="Q60" s="69" t="str">
        <x:v>在 city_100km_ultimate 物理边界内独立计算。</x:v>
      </x:c>
      <x:c r="R60" s="69" t="str">
        <x:v>在对应行政片段/行政统计口径内独立计算。</x:v>
      </x:c>
      <x:c r="S60" s="69" t="str">
        <x:v>同一源数据、同一年度、同一算法分别运行两次，输出 *_PHY 与 *_ADM；两值不相加、不平均。</x:v>
      </x:c>
      <x:c r="T60" s="69" t="str">
        <x:v>V2已定义</x:v>
      </x:c>
      <x:c r="U60" s="69" t="str">
        <x:v>极端降水阈值需固定。</x:v>
      </x:c>
      <x:c r="V60" s="69" t="str">
        <x:v>GCI-IND-v2.3-GEE-B05</x:v>
      </x:c>
      <x:c r="W60" s="69" t="str">
        <x:v>GC100-20260827-V1.0.1</x:v>
      </x:c>
    </x:row>
    <x:row r="61" ht="48" customHeight="1">
      <x:c r="A61" s="69" t="str">
        <x:v>环境友好（Environmental Friendliness）</x:v>
      </x:c>
      <x:c r="B61" s="70" t="n">
        <x:v>0.15</x:v>
      </x:c>
      <x:c r="C61" s="69" t="str">
        <x:v>极端天气暴露（Extreme Weather Exposure）</x:v>
      </x:c>
      <x:c r="D61" s="70" t="n">
        <x:v>0.6</x:v>
      </x:c>
      <x:c r="E61" s="69" t="n">
        <x:v>68</x:v>
      </x:c>
      <x:c r="F61" s="69" t="str">
        <x:v>自然灾害次数（Natural disasters）</x:v>
      </x:c>
      <x:c r="G61" s="71" t="n">
        <x:v>0.24</x:v>
      </x:c>
      <x:c r="H61" s="71" t="n">
        <x:f>B61*D61*G61</x:f>
        <x:v>0.021599999999999998</x:v>
      </x:c>
      <x:c r="I61" s="72" t="n">
        <x:v>1</x:v>
      </x:c>
      <x:c r="J61" s="69" t="str">
        <x:v>GEOCODED_DISASTER_EVENT</x:v>
      </x:c>
      <x:c r="K61" s="69" t="str">
        <x:v>DUAL</x:v>
      </x:c>
      <x:c r="L61" s="69" t="str">
        <x:v>DUAL</x:v>
      </x:c>
      <x:c r="M61" s="69" t="str">
        <x:v>PHY + ADM</x:v>
      </x:c>
      <x:c r="N61" s="69" t="str">
        <x:v>DEDUP_COUNT_OR_EXPOSURE</x:v>
      </x:c>
      <x:c r="O61" s="69" t="str">
        <x:v>EVENT_INTERSECTION</x:v>
      </x:c>
      <x:c r="P61" s="69" t="str">
        <x:v>CountDistinct(Event_ID intersecting boundary)；可另算受影响人口</x:v>
      </x:c>
      <x:c r="Q61" s="69" t="str">
        <x:v>在 city_100km_ultimate 物理边界内独立计算。</x:v>
      </x:c>
      <x:c r="R61" s="69" t="str">
        <x:v>在对应行政片段/行政统计口径内独立计算。</x:v>
      </x:c>
      <x:c r="S61" s="69" t="str">
        <x:v>同一源数据、同一年度、同一算法分别运行两次，输出 *_PHY 与 *_ADM；两值不相加、不平均。</x:v>
      </x:c>
      <x:c r="T61" s="69" t="str">
        <x:v>V2已定义</x:v>
      </x:c>
      <x:c r="U61" s="69" t="str">
        <x:v>同一灾害跨边界不得重复到同一城市两次。</x:v>
      </x:c>
      <x:c r="V61" s="69" t="str">
        <x:v>GCI-IND-v2.3-GEE-B05</x:v>
      </x:c>
      <x:c r="W61" s="69" t="str">
        <x:v>GC100-20260827-V1.0.1</x:v>
      </x:c>
    </x:row>
    <x:row r="62" ht="48" customHeight="1">
      <x:c r="A62" s="69" t="str">
        <x:v>可持续性（Sustainability）</x:v>
      </x:c>
      <x:c r="B62" s="70" t="n">
        <x:v>0.2</x:v>
      </x:c>
      <x:c r="C62" s="69" t="str">
        <x:v>环境可持续（Environmental Sustainability）</x:v>
      </x:c>
      <x:c r="D62" s="70" t="n">
        <x:v>0.55</x:v>
      </x:c>
      <x:c r="E62" s="69" t="n">
        <x:v>69</x:v>
      </x:c>
      <x:c r="F62" s="69" t="str">
        <x:v>气候行动承诺（Commitment to Climate Action）</x:v>
      </x:c>
      <x:c r="G62" s="71" t="n">
        <x:v>0.12</x:v>
      </x:c>
      <x:c r="H62" s="71" t="n">
        <x:f>B62*D62*G62</x:f>
        <x:v>0.013200000000000002</x:v>
      </x:c>
      <x:c r="I62" s="72" t="n">
        <x:v>0</x:v>
      </x:c>
      <x:c r="J62" s="69" t="str">
        <x:v>CITY_POLICY_RECORD</x:v>
      </x:c>
      <x:c r="K62" s="69" t="str">
        <x:v>ADMIN</x:v>
      </x:c>
      <x:c r="L62" s="69" t="str">
        <x:v>ADMIN</x:v>
      </x:c>
      <x:c r="M62" s="69" t="str">
        <x:v>ADM</x:v>
      </x:c>
      <x:c r="N62" s="69" t="str">
        <x:v>SCORING_RULE</x:v>
      </x:c>
      <x:c r="O62" s="69" t="str">
        <x:v>DIRECT_CITY_RECORD</x:v>
      </x:c>
      <x:c r="P62" s="69" t="str">
        <x:v>按统一证据等级转换为0–100分</x:v>
      </x:c>
      <x:c r="Q62" s="69" t="str">
        <x:v>不计算；不得用面积比例伪造物理边界统计值。</x:v>
      </x:c>
      <x:c r="R62" s="69" t="str">
        <x:v>按 assigned_admin_fragments 及指标适用权重聚合，率值先汇总分子分母后重算。</x:v>
      </x:c>
      <x:c r="S62" s="69" t="str">
        <x:v>不适用。</x:v>
      </x:c>
      <x:c r="T62" s="69" t="str">
        <x:v>建议口径／待数据源确认</x:v>
      </x:c>
      <x:c r="U62" s="69" t="str">
        <x:v>需要形成可审计的政策评分量表。</x:v>
      </x:c>
      <x:c r="V62" s="69" t="str">
        <x:v>GCI-IND-v2.3-GEE-B05</x:v>
      </x:c>
      <x:c r="W62" s="69" t="str">
        <x:v>GC100-20260827-V1.0.1</x:v>
      </x:c>
    </x:row>
    <x:row r="63" ht="48" customHeight="1">
      <x:c r="A63" s="69" t="str">
        <x:v>可持续性（Sustainability）</x:v>
      </x:c>
      <x:c r="B63" s="70" t="n">
        <x:v>0.2</x:v>
      </x:c>
      <x:c r="C63" s="69" t="str">
        <x:v>环境可持续（Environmental Sustainability）</x:v>
      </x:c>
      <x:c r="D63" s="70" t="n">
        <x:v>0.55</x:v>
      </x:c>
      <x:c r="E63" s="69" t="n">
        <x:v>70</x:v>
      </x:c>
      <x:c r="F63" s="69" t="str">
        <x:v>可再生能源（Renewable Energy Rate）</x:v>
      </x:c>
      <x:c r="G63" s="71" t="n">
        <x:v>0.16</x:v>
      </x:c>
      <x:c r="H63" s="71" t="n">
        <x:f>B63*D63*G63</x:f>
        <x:v>0.0176</x:v>
      </x:c>
      <x:c r="I63" s="72" t="n">
        <x:v>0</x:v>
      </x:c>
      <x:c r="J63" s="69" t="str">
        <x:v>ADMIN_ENERGY_STAT</x:v>
      </x:c>
      <x:c r="K63" s="69" t="str">
        <x:v>ADMIN</x:v>
      </x:c>
      <x:c r="L63" s="69" t="str">
        <x:v>ADMIN</x:v>
      </x:c>
      <x:c r="M63" s="69" t="str">
        <x:v>ADM</x:v>
      </x:c>
      <x:c r="N63" s="69" t="str">
        <x:v>RATIO_RECALC</x:v>
      </x:c>
      <x:c r="O63" s="69" t="str">
        <x:v>DIRECT_CITY_RECORD</x:v>
      </x:c>
      <x:c r="P63" s="69" t="str">
        <x:v>RenewableEnergy/TotalEnergy×100%</x:v>
      </x:c>
      <x:c r="Q63" s="69" t="str">
        <x:v>不计算；不得用面积比例伪造物理边界统计值。</x:v>
      </x:c>
      <x:c r="R63" s="69" t="str">
        <x:v>按 assigned_admin_fragments 及指标适用权重聚合，率值先汇总分子分母后重算。</x:v>
      </x:c>
      <x:c r="S63" s="69" t="str">
        <x:v>不适用。</x:v>
      </x:c>
      <x:c r="T63" s="69" t="str">
        <x:v>建议口径／待数据源确认</x:v>
      </x:c>
      <x:c r="U63" s="69" t="str">
        <x:v>明确电力或全部终端能源。</x:v>
      </x:c>
      <x:c r="V63" s="69" t="str">
        <x:v>GCI-IND-v2.3-GEE-B05</x:v>
      </x:c>
      <x:c r="W63" s="69" t="str">
        <x:v>GC100-20260827-V1.0.1</x:v>
      </x:c>
    </x:row>
    <x:row r="64" ht="48" customHeight="1">
      <x:c r="A64" s="69" t="str">
        <x:v>可持续性（Sustainability）</x:v>
      </x:c>
      <x:c r="B64" s="70" t="n">
        <x:v>0.2</x:v>
      </x:c>
      <x:c r="C64" s="69" t="str">
        <x:v>环境可持续（Environmental Sustainability）</x:v>
      </x:c>
      <x:c r="D64" s="70" t="n">
        <x:v>0.55</x:v>
      </x:c>
      <x:c r="E64" s="69" t="n">
        <x:v>71</x:v>
      </x:c>
      <x:c r="F64" s="69" t="str">
        <x:v>废水回收能力（Waste Recycle Rate）</x:v>
      </x:c>
      <x:c r="G64" s="71" t="n">
        <x:v>0.14</x:v>
      </x:c>
      <x:c r="H64" s="71" t="n">
        <x:f>B64*D64*G64</x:f>
        <x:v>0.015400000000000004</x:v>
      </x:c>
      <x:c r="I64" s="72" t="n">
        <x:v>0</x:v>
      </x:c>
      <x:c r="J64" s="69" t="str">
        <x:v>ADMIN_WATER_STAT</x:v>
      </x:c>
      <x:c r="K64" s="69" t="str">
        <x:v>ADMIN</x:v>
      </x:c>
      <x:c r="L64" s="69" t="str">
        <x:v>ADMIN</x:v>
      </x:c>
      <x:c r="M64" s="69" t="str">
        <x:v>ADM</x:v>
      </x:c>
      <x:c r="N64" s="69" t="str">
        <x:v>RATIO_RECALC</x:v>
      </x:c>
      <x:c r="O64" s="69" t="str">
        <x:v>DIRECT_CITY_RECORD</x:v>
      </x:c>
      <x:c r="P64" s="69" t="str">
        <x:v>ReusedWastewater/TreatedWastewater×100%</x:v>
      </x:c>
      <x:c r="Q64" s="69" t="str">
        <x:v>不计算；不得用面积比例伪造物理边界统计值。</x:v>
      </x:c>
      <x:c r="R64" s="69" t="str">
        <x:v>按 assigned_admin_fragments 及指标适用权重聚合，率值先汇总分子分母后重算。</x:v>
      </x:c>
      <x:c r="S64" s="69" t="str">
        <x:v>不适用。</x:v>
      </x:c>
      <x:c r="T64" s="69" t="str">
        <x:v>建议口径／待数据源确认</x:v>
      </x:c>
      <x:c r="U64" s="69" t="str">
        <x:v>中英文名称需明确为废水回用率。</x:v>
      </x:c>
      <x:c r="V64" s="69" t="str">
        <x:v>GCI-IND-v2.3-GEE-B05</x:v>
      </x:c>
      <x:c r="W64" s="69" t="str">
        <x:v>GC100-20260827-V1.0.1</x:v>
      </x:c>
    </x:row>
    <x:row r="65" ht="48" customHeight="1">
      <x:c r="A65" s="69" t="str">
        <x:v>可持续性（Sustainability）</x:v>
      </x:c>
      <x:c r="B65" s="70" t="n">
        <x:v>0.2</x:v>
      </x:c>
      <x:c r="C65" s="69" t="str">
        <x:v>环境可持续（Environmental Sustainability）</x:v>
      </x:c>
      <x:c r="D65" s="70" t="n">
        <x:v>0.55</x:v>
      </x:c>
      <x:c r="E65" s="69" t="n">
        <x:v>72</x:v>
      </x:c>
      <x:c r="F65" s="69" t="str">
        <x:v>碳排放强度（CO2 Emissions per Capita）</x:v>
      </x:c>
      <x:c r="G65" s="71" t="n">
        <x:v>0.18</x:v>
      </x:c>
      <x:c r="H65" s="71" t="n">
        <x:f>B65*D65*G65</x:f>
        <x:v>0.0198</x:v>
      </x:c>
      <x:c r="I65" s="72" t="n">
        <x:v>0</x:v>
      </x:c>
      <x:c r="J65" s="69" t="str">
        <x:v>ADMIN_EMISSION_STAT</x:v>
      </x:c>
      <x:c r="K65" s="69" t="str">
        <x:v>ADMIN</x:v>
      </x:c>
      <x:c r="L65" s="69" t="str">
        <x:v>ADMIN</x:v>
      </x:c>
      <x:c r="M65" s="69" t="str">
        <x:v>ADM</x:v>
      </x:c>
      <x:c r="N65" s="69" t="str">
        <x:v>RATIO_RECALC</x:v>
      </x:c>
      <x:c r="O65" s="69" t="str">
        <x:v>DIRECT_CITY_RECORD</x:v>
      </x:c>
      <x:c r="P65" s="69" t="str">
        <x:v>TotalCO2e_admin/ResidentPopulation_admin</x:v>
      </x:c>
      <x:c r="Q65" s="69" t="str">
        <x:v>不计算；不得用面积比例伪造物理边界统计值。</x:v>
      </x:c>
      <x:c r="R65" s="69" t="str">
        <x:v>按 assigned_admin_fragments 及指标适用权重聚合，率值先汇总分子分母后重算。</x:v>
      </x:c>
      <x:c r="S65" s="69" t="str">
        <x:v>不适用。</x:v>
      </x:c>
      <x:c r="T65" s="69" t="str">
        <x:v>建议口径／待数据源确认</x:v>
      </x:c>
      <x:c r="U65" s="69" t="str">
        <x:v>排放清单与人口必须同一行政口径。</x:v>
      </x:c>
      <x:c r="V65" s="69" t="str">
        <x:v>GCI-IND-v2.3-GEE-B05</x:v>
      </x:c>
      <x:c r="W65" s="69" t="str">
        <x:v>GC100-20260827-V1.0.1</x:v>
      </x:c>
    </x:row>
    <x:row r="66" ht="48" customHeight="1">
      <x:c r="A66" s="69" t="str">
        <x:v>可持续性（Sustainability）</x:v>
      </x:c>
      <x:c r="B66" s="70" t="n">
        <x:v>0.2</x:v>
      </x:c>
      <x:c r="C66" s="69" t="str">
        <x:v>环境可持续（Environmental Sustainability）</x:v>
      </x:c>
      <x:c r="D66" s="70" t="n">
        <x:v>0.55</x:v>
      </x:c>
      <x:c r="E66" s="69" t="n">
        <x:v>73</x:v>
      </x:c>
      <x:c r="F66" s="69" t="str">
        <x:v>环保上的投入（Environmental protection investment）</x:v>
      </x:c>
      <x:c r="G66" s="71" t="n">
        <x:v>0.14</x:v>
      </x:c>
      <x:c r="H66" s="71" t="n">
        <x:f>B66*D66*G66</x:f>
        <x:v>0.015400000000000004</x:v>
      </x:c>
      <x:c r="I66" s="72" t="n">
        <x:v>0</x:v>
      </x:c>
      <x:c r="J66" s="69" t="str">
        <x:v>ADMIN_FISCAL_STAT</x:v>
      </x:c>
      <x:c r="K66" s="69" t="str">
        <x:v>ADMIN</x:v>
      </x:c>
      <x:c r="L66" s="69" t="str">
        <x:v>ADMIN</x:v>
      </x:c>
      <x:c r="M66" s="69" t="str">
        <x:v>ADM</x:v>
      </x:c>
      <x:c r="N66" s="69" t="str">
        <x:v>SUM_OR_RATIO</x:v>
      </x:c>
      <x:c r="O66" s="69" t="str">
        <x:v>DIRECT_CITY_RECORD</x:v>
      </x:c>
      <x:c r="P66" s="69" t="str">
        <x:v>Σ(EnvironmentalProtectionInvestment)；可另算/GDP</x:v>
      </x:c>
      <x:c r="Q66" s="69" t="str">
        <x:v>不计算；不得用面积比例伪造物理边界统计值。</x:v>
      </x:c>
      <x:c r="R66" s="69" t="str">
        <x:v>按 assigned_admin_fragments 及指标适用权重聚合，率值先汇总分子分母后重算。</x:v>
      </x:c>
      <x:c r="S66" s="69" t="str">
        <x:v>不适用。</x:v>
      </x:c>
      <x:c r="T66" s="69" t="str">
        <x:v>建议口径／待数据源确认</x:v>
      </x:c>
      <x:c r="U66" s="69" t="str">
        <x:v>明确绝对投入或投入占比。</x:v>
      </x:c>
      <x:c r="V66" s="69" t="str">
        <x:v>GCI-IND-v2.3-GEE-B05</x:v>
      </x:c>
      <x:c r="W66" s="69" t="str">
        <x:v>GC100-20260827-V1.0.1</x:v>
      </x:c>
    </x:row>
    <x:row r="67" ht="48" customHeight="1">
      <x:c r="A67" s="69" t="str">
        <x:v>可持续性（Sustainability）</x:v>
      </x:c>
      <x:c r="B67" s="70" t="n">
        <x:v>0.2</x:v>
      </x:c>
      <x:c r="C67" s="69" t="str">
        <x:v>环境可持续（Environmental Sustainability）</x:v>
      </x:c>
      <x:c r="D67" s="70" t="n">
        <x:v>0.55</x:v>
      </x:c>
      <x:c r="E67" s="69" t="n">
        <x:v>74</x:v>
      </x:c>
      <x:c r="F67" s="69" t="str">
        <x:v>环境保护相关的企业数量（Number of environmental protection enterprises）</x:v>
      </x:c>
      <x:c r="G67" s="71" t="n">
        <x:v>0.1</x:v>
      </x:c>
      <x:c r="H67" s="71" t="n">
        <x:f>B67*D67*G67</x:f>
        <x:v>0.011000000000000003</x:v>
      </x:c>
      <x:c r="I67" s="72" t="n">
        <x:v>0</x:v>
      </x:c>
      <x:c r="J67" s="69" t="str">
        <x:v>ADMIN_ENTERPRISE_REGISTRY</x:v>
      </x:c>
      <x:c r="K67" s="69" t="str">
        <x:v>ADMIN</x:v>
      </x:c>
      <x:c r="L67" s="69" t="str">
        <x:v>ADMIN</x:v>
      </x:c>
      <x:c r="M67" s="69" t="str">
        <x:v>ADM</x:v>
      </x:c>
      <x:c r="N67" s="69" t="str">
        <x:v>DEDUP_COUNT</x:v>
      </x:c>
      <x:c r="O67" s="69" t="str">
        <x:v>DIRECT_CITY_RECORD</x:v>
      </x:c>
      <x:c r="P67" s="69" t="str">
        <x:v>CountDistinct(EnvironmentalEnterprise_ID assigned to city)</x:v>
      </x:c>
      <x:c r="Q67" s="69" t="str">
        <x:v>不计算；不得用面积比例伪造物理边界统计值。</x:v>
      </x:c>
      <x:c r="R67" s="69" t="str">
        <x:v>按 assigned_admin_fragments 及指标适用权重聚合，率值先汇总分子分母后重算。</x:v>
      </x:c>
      <x:c r="S67" s="69" t="str">
        <x:v>不适用。</x:v>
      </x:c>
      <x:c r="T67" s="69" t="str">
        <x:v>建议口径／待数据源确认</x:v>
      </x:c>
      <x:c r="U67" s="69" t="str">
        <x:v>统一环保企业行业代码。</x:v>
      </x:c>
      <x:c r="V67" s="69" t="str">
        <x:v>GCI-IND-v2.3-GEE-B05</x:v>
      </x:c>
      <x:c r="W67" s="69" t="str">
        <x:v>GC100-20260827-V1.0.1</x:v>
      </x:c>
    </x:row>
    <x:row r="68" ht="48" customHeight="1">
      <x:c r="A68" s="69" t="str">
        <x:v>可持续性（Sustainability）</x:v>
      </x:c>
      <x:c r="B68" s="70" t="n">
        <x:v>0.2</x:v>
      </x:c>
      <x:c r="C68" s="69" t="str">
        <x:v>环境可持续（Environmental Sustainability）</x:v>
      </x:c>
      <x:c r="D68" s="70" t="n">
        <x:v>0.55</x:v>
      </x:c>
      <x:c r="E68" s="69" t="n">
        <x:v>75</x:v>
      </x:c>
      <x:c r="F68" s="69" t="str">
        <x:v>拥有环境保护组织的数量/或加入（Number of environmental protection organizations）</x:v>
      </x:c>
      <x:c r="G68" s="71" t="n">
        <x:v>0.08</x:v>
      </x:c>
      <x:c r="H68" s="71" t="n">
        <x:f>B68*D68*G68</x:f>
        <x:v>0.0088</x:v>
      </x:c>
      <x:c r="I68" s="72" t="n">
        <x:v>0</x:v>
      </x:c>
      <x:c r="J68" s="69" t="str">
        <x:v>ADMIN_ORGANIZATION_REGISTRY</x:v>
      </x:c>
      <x:c r="K68" s="69" t="str">
        <x:v>ADMIN</x:v>
      </x:c>
      <x:c r="L68" s="69" t="str">
        <x:v>ADMIN</x:v>
      </x:c>
      <x:c r="M68" s="69" t="str">
        <x:v>ADM</x:v>
      </x:c>
      <x:c r="N68" s="69" t="str">
        <x:v>DEDUP_COUNT</x:v>
      </x:c>
      <x:c r="O68" s="69" t="str">
        <x:v>DIRECT_CITY_RECORD</x:v>
      </x:c>
      <x:c r="P68" s="69" t="str">
        <x:v>CountDistinct(EnvironmentalOrganization_ID assigned to city)</x:v>
      </x:c>
      <x:c r="Q68" s="69" t="str">
        <x:v>不计算；不得用面积比例伪造物理边界统计值。</x:v>
      </x:c>
      <x:c r="R68" s="69" t="str">
        <x:v>按 assigned_admin_fragments 及指标适用权重聚合，率值先汇总分子分母后重算。</x:v>
      </x:c>
      <x:c r="S68" s="69" t="str">
        <x:v>不适用。</x:v>
      </x:c>
      <x:c r="T68" s="69" t="str">
        <x:v>建议口径／待数据源确认</x:v>
      </x:c>
      <x:c r="U68" s="69" t="str">
        <x:v>明确本地组织或城市加入组织。</x:v>
      </x:c>
      <x:c r="V68" s="69" t="str">
        <x:v>GCI-IND-v2.3-GEE-B05</x:v>
      </x:c>
      <x:c r="W68" s="69" t="str">
        <x:v>GC100-20260827-V1.0.1</x:v>
      </x:c>
    </x:row>
    <x:row r="69" ht="48" customHeight="1">
      <x:c r="A69" s="69" t="str">
        <x:v>可持续性（Sustainability）</x:v>
      </x:c>
      <x:c r="B69" s="70" t="n">
        <x:v>0.2</x:v>
      </x:c>
      <x:c r="C69" s="69" t="str">
        <x:v>环境可持续（Environmental Sustainability）</x:v>
      </x:c>
      <x:c r="D69" s="70" t="n">
        <x:v>0.55</x:v>
      </x:c>
      <x:c r="E69" s="69" t="n">
        <x:v>76</x:v>
      </x:c>
      <x:c r="F69" s="69" t="str">
        <x:v>环境保护者的数量（Number of environmentalists）</x:v>
      </x:c>
      <x:c r="G69" s="71" t="n">
        <x:v>0.04</x:v>
      </x:c>
      <x:c r="H69" s="71" t="n">
        <x:f>B69*D69*G69</x:f>
        <x:v>0.0044</x:v>
      </x:c>
      <x:c r="I69" s="72" t="n">
        <x:v>0</x:v>
      </x:c>
      <x:c r="J69" s="69" t="str">
        <x:v>ADMIN_MEMBERSHIP_STAT</x:v>
      </x:c>
      <x:c r="K69" s="69" t="str">
        <x:v>ADMIN</x:v>
      </x:c>
      <x:c r="L69" s="69" t="str">
        <x:v>ADMIN</x:v>
      </x:c>
      <x:c r="M69" s="69" t="str">
        <x:v>ADM</x:v>
      </x:c>
      <x:c r="N69" s="69" t="str">
        <x:v>SUM</x:v>
      </x:c>
      <x:c r="O69" s="69" t="str">
        <x:v>DIRECT_CITY_RECORD</x:v>
      </x:c>
      <x:c r="P69" s="69" t="str">
        <x:v>Σ(RegisteredEnvironmentalists)</x:v>
      </x:c>
      <x:c r="Q69" s="69" t="str">
        <x:v>不计算；不得用面积比例伪造物理边界统计值。</x:v>
      </x:c>
      <x:c r="R69" s="69" t="str">
        <x:v>按 assigned_admin_fragments 及指标适用权重聚合，率值先汇总分子分母后重算。</x:v>
      </x:c>
      <x:c r="S69" s="69" t="str">
        <x:v>不适用。</x:v>
      </x:c>
      <x:c r="T69" s="69" t="str">
        <x:v>建议口径／待数据源确认</x:v>
      </x:c>
      <x:c r="U69" s="69" t="str">
        <x:v>指标定义和全球数据可得性待确认。</x:v>
      </x:c>
      <x:c r="V69" s="69" t="str">
        <x:v>GCI-IND-v2.3-GEE-B05</x:v>
      </x:c>
      <x:c r="W69" s="69" t="str">
        <x:v>GC100-20260827-V1.0.1</x:v>
      </x:c>
    </x:row>
    <x:row r="70" ht="48" customHeight="1">
      <x:c r="A70" s="69" t="str">
        <x:v>可持续性（Sustainability）</x:v>
      </x:c>
      <x:c r="B70" s="70" t="n">
        <x:v>0.2</x:v>
      </x:c>
      <x:c r="C70" s="69" t="str">
        <x:v>环境可持续（Environmental Sustainability）</x:v>
      </x:c>
      <x:c r="D70" s="70" t="n">
        <x:v>0.55</x:v>
      </x:c>
      <x:c r="E70" s="69" t="n">
        <x:v>77</x:v>
      </x:c>
      <x:c r="F70" s="69" t="str">
        <x:v>环境保护采取的行动次数（Number of environmental protection actions）</x:v>
      </x:c>
      <x:c r="G70" s="71" t="n">
        <x:v>0.04</x:v>
      </x:c>
      <x:c r="H70" s="71" t="n">
        <x:f>B70*D70*G70</x:f>
        <x:v>0.0044</x:v>
      </x:c>
      <x:c r="I70" s="72" t="n">
        <x:v>0</x:v>
      </x:c>
      <x:c r="J70" s="69" t="str">
        <x:v>ADMIN_ACTION_RECORD</x:v>
      </x:c>
      <x:c r="K70" s="69" t="str">
        <x:v>ADMIN</x:v>
      </x:c>
      <x:c r="L70" s="69" t="str">
        <x:v>ADMIN</x:v>
      </x:c>
      <x:c r="M70" s="69" t="str">
        <x:v>ADM</x:v>
      </x:c>
      <x:c r="N70" s="69" t="str">
        <x:v>DEDUP_COUNT</x:v>
      </x:c>
      <x:c r="O70" s="69" t="str">
        <x:v>DIRECT_CITY_RECORD</x:v>
      </x:c>
      <x:c r="P70" s="69" t="str">
        <x:v>CountDistinct(EnvironmentalAction_ID within reporting year)</x:v>
      </x:c>
      <x:c r="Q70" s="69" t="str">
        <x:v>不计算；不得用面积比例伪造物理边界统计值。</x:v>
      </x:c>
      <x:c r="R70" s="69" t="str">
        <x:v>按 assigned_admin_fragments 及指标适用权重聚合，率值先汇总分子分母后重算。</x:v>
      </x:c>
      <x:c r="S70" s="69" t="str">
        <x:v>不适用。</x:v>
      </x:c>
      <x:c r="T70" s="69" t="str">
        <x:v>建议口径／待数据源确认</x:v>
      </x:c>
      <x:c r="U70" s="69" t="str">
        <x:v>活动定义和时间窗需固定。</x:v>
      </x:c>
      <x:c r="V70" s="69" t="str">
        <x:v>GCI-IND-v2.3-GEE-B05</x:v>
      </x:c>
      <x:c r="W70" s="69" t="str">
        <x:v>GC100-20260827-V1.0.1</x:v>
      </x:c>
    </x:row>
    <x:row r="71" ht="48" customHeight="1">
      <x:c r="A71" s="69" t="str">
        <x:v>可持续性（Sustainability）</x:v>
      </x:c>
      <x:c r="B71" s="70" t="n">
        <x:v>0.2</x:v>
      </x:c>
      <x:c r="C71" s="69" t="str">
        <x:v>经济可持续（Economic Sustainability）</x:v>
      </x:c>
      <x:c r="D71" s="70" t="n">
        <x:v>0.45</x:v>
      </x:c>
      <x:c r="E71" s="69" t="n">
        <x:v>78</x:v>
      </x:c>
      <x:c r="F71" s="69" t="str">
        <x:v>研发经费支出占比（R&amp;D expenditure ratio）</x:v>
      </x:c>
      <x:c r="G71" s="71" t="n">
        <x:v>0.18</x:v>
      </x:c>
      <x:c r="H71" s="71" t="n">
        <x:f>B71*D71*G71</x:f>
        <x:v>0.016200000000000003</x:v>
      </x:c>
      <x:c r="I71" s="72" t="n">
        <x:v>0</x:v>
      </x:c>
      <x:c r="J71" s="69" t="str">
        <x:v>ADMIN_RD_AND_GDP_STAT</x:v>
      </x:c>
      <x:c r="K71" s="69" t="str">
        <x:v>ADMIN</x:v>
      </x:c>
      <x:c r="L71" s="69" t="str">
        <x:v>ADMIN</x:v>
      </x:c>
      <x:c r="M71" s="69" t="str">
        <x:v>ADM</x:v>
      </x:c>
      <x:c r="N71" s="69" t="str">
        <x:v>RATIO_RECALC</x:v>
      </x:c>
      <x:c r="O71" s="69" t="str">
        <x:v>DIRECT_CITY_RECORD</x:v>
      </x:c>
      <x:c r="P71" s="69" t="str">
        <x:v>R&amp;D_Expenditure/GDP×100%</x:v>
      </x:c>
      <x:c r="Q71" s="69" t="str">
        <x:v>不计算；不得用面积比例伪造物理边界统计值。</x:v>
      </x:c>
      <x:c r="R71" s="69" t="str">
        <x:v>按 assigned_admin_fragments 及指标适用权重聚合，率值先汇总分子分母后重算。</x:v>
      </x:c>
      <x:c r="S71" s="69" t="str">
        <x:v>不适用。</x:v>
      </x:c>
      <x:c r="T71" s="69" t="str">
        <x:v>建议口径／待数据源确认</x:v>
      </x:c>
      <x:c r="U71" s="69" t="str">
        <x:v>研发支出和GDP需同年同口径。</x:v>
      </x:c>
      <x:c r="V71" s="69" t="str">
        <x:v>GCI-IND-v2.3-GEE-B05</x:v>
      </x:c>
      <x:c r="W71" s="69" t="str">
        <x:v>GC100-20260827-V1.0.1</x:v>
      </x:c>
    </x:row>
    <x:row r="72" ht="48" customHeight="1">
      <x:c r="A72" s="69" t="str">
        <x:v>可持续性（Sustainability）</x:v>
      </x:c>
      <x:c r="B72" s="70" t="n">
        <x:v>0.2</x:v>
      </x:c>
      <x:c r="C72" s="69" t="str">
        <x:v>经济可持续（Economic Sustainability）</x:v>
      </x:c>
      <x:c r="D72" s="70" t="n">
        <x:v>0.45</x:v>
      </x:c>
      <x:c r="E72" s="69" t="n">
        <x:v>79</x:v>
      </x:c>
      <x:c r="F72" s="69" t="str">
        <x:v>专利申请数量（Number of patent applications）</x:v>
      </x:c>
      <x:c r="G72" s="71" t="n">
        <x:v>0.18</x:v>
      </x:c>
      <x:c r="H72" s="71" t="n">
        <x:f>B72*D72*G72</x:f>
        <x:v>0.016200000000000003</x:v>
      </x:c>
      <x:c r="I72" s="72" t="n">
        <x:v>0</x:v>
      </x:c>
      <x:c r="J72" s="69" t="str">
        <x:v>ADMIN_PATENT_REGISTRY</x:v>
      </x:c>
      <x:c r="K72" s="69" t="str">
        <x:v>ADMIN</x:v>
      </x:c>
      <x:c r="L72" s="69" t="str">
        <x:v>ADMIN</x:v>
      </x:c>
      <x:c r="M72" s="69" t="str">
        <x:v>ADM</x:v>
      </x:c>
      <x:c r="N72" s="69" t="str">
        <x:v>DEDUP_COUNT</x:v>
      </x:c>
      <x:c r="O72" s="69" t="str">
        <x:v>DIRECT_CITY_RECORD</x:v>
      </x:c>
      <x:c r="P72" s="69" t="str">
        <x:v>CountDistinct(PatentApplication_ID assigned by applicant address)</x:v>
      </x:c>
      <x:c r="Q72" s="69" t="str">
        <x:v>不计算；不得用面积比例伪造物理边界统计值。</x:v>
      </x:c>
      <x:c r="R72" s="69" t="str">
        <x:v>按 assigned_admin_fragments 及指标适用权重聚合，率值先汇总分子分母后重算。</x:v>
      </x:c>
      <x:c r="S72" s="69" t="str">
        <x:v>不适用。</x:v>
      </x:c>
      <x:c r="T72" s="69" t="str">
        <x:v>建议口径／待数据源确认</x:v>
      </x:c>
      <x:c r="U72" s="69" t="str">
        <x:v>申请地、申请人地址或发明人地址需统一。</x:v>
      </x:c>
      <x:c r="V72" s="69" t="str">
        <x:v>GCI-IND-v2.3-GEE-B05</x:v>
      </x:c>
      <x:c r="W72" s="69" t="str">
        <x:v>GC100-20260827-V1.0.1</x:v>
      </x:c>
    </x:row>
    <x:row r="73" ht="48" customHeight="1">
      <x:c r="A73" s="69" t="str">
        <x:v>可持续性（Sustainability）</x:v>
      </x:c>
      <x:c r="B73" s="70" t="n">
        <x:v>0.2</x:v>
      </x:c>
      <x:c r="C73" s="69" t="str">
        <x:v>经济可持续（Economic Sustainability）</x:v>
      </x:c>
      <x:c r="D73" s="70" t="n">
        <x:v>0.45</x:v>
      </x:c>
      <x:c r="E73" s="69" t="n">
        <x:v>80</x:v>
      </x:c>
      <x:c r="F73" s="69" t="str">
        <x:v>初创企业数量（Number of Startups）</x:v>
      </x:c>
      <x:c r="G73" s="71" t="n">
        <x:v>0.16</x:v>
      </x:c>
      <x:c r="H73" s="71" t="n">
        <x:f>B73*D73*G73</x:f>
        <x:v>0.014400000000000001</x:v>
      </x:c>
      <x:c r="I73" s="72" t="n">
        <x:v>0</x:v>
      </x:c>
      <x:c r="J73" s="69" t="str">
        <x:v>ADMIN_ENTERPRISE_REGISTRY</x:v>
      </x:c>
      <x:c r="K73" s="69" t="str">
        <x:v>ADMIN</x:v>
      </x:c>
      <x:c r="L73" s="69" t="str">
        <x:v>ADMIN</x:v>
      </x:c>
      <x:c r="M73" s="69" t="str">
        <x:v>ADM</x:v>
      </x:c>
      <x:c r="N73" s="69" t="str">
        <x:v>DEDUP_COUNT</x:v>
      </x:c>
      <x:c r="O73" s="69" t="str">
        <x:v>DIRECT_CITY_RECORD</x:v>
      </x:c>
      <x:c r="P73" s="69" t="str">
        <x:v>CountDistinct(Startup_ID assigned to city)</x:v>
      </x:c>
      <x:c r="Q73" s="69" t="str">
        <x:v>不计算；不得用面积比例伪造物理边界统计值。</x:v>
      </x:c>
      <x:c r="R73" s="69" t="str">
        <x:v>按 assigned_admin_fragments 及指标适用权重聚合，率值先汇总分子分母后重算。</x:v>
      </x:c>
      <x:c r="S73" s="69" t="str">
        <x:v>不适用。</x:v>
      </x:c>
      <x:c r="T73" s="69" t="str">
        <x:v>建议口径／待数据源确认</x:v>
      </x:c>
      <x:c r="U73" s="69" t="str">
        <x:v>初创企业年龄阈值需固定。</x:v>
      </x:c>
      <x:c r="V73" s="69" t="str">
        <x:v>GCI-IND-v2.3-GEE-B05</x:v>
      </x:c>
      <x:c r="W73" s="69" t="str">
        <x:v>GC100-20260827-V1.0.1</x:v>
      </x:c>
    </x:row>
    <x:row r="74" ht="48" customHeight="1">
      <x:c r="A74" s="69" t="str">
        <x:v>可持续性（Sustainability）</x:v>
      </x:c>
      <x:c r="B74" s="70" t="n">
        <x:v>0.2</x:v>
      </x:c>
      <x:c r="C74" s="69" t="str">
        <x:v>经济可持续（Economic Sustainability）</x:v>
      </x:c>
      <x:c r="D74" s="70" t="n">
        <x:v>0.45</x:v>
      </x:c>
      <x:c r="E74" s="69" t="n">
        <x:v>81</x:v>
      </x:c>
      <x:c r="F74" s="69" t="str">
        <x:v>经济多样性（Economic diversity）</x:v>
      </x:c>
      <x:c r="G74" s="71" t="n">
        <x:v>0.16</x:v>
      </x:c>
      <x:c r="H74" s="71" t="n">
        <x:f>B74*D74*G74</x:f>
        <x:v>0.014400000000000001</x:v>
      </x:c>
      <x:c r="I74" s="72" t="n">
        <x:v>0</x:v>
      </x:c>
      <x:c r="J74" s="69" t="str">
        <x:v>ADMIN_INDUSTRY_STAT</x:v>
      </x:c>
      <x:c r="K74" s="69" t="str">
        <x:v>ADMIN</x:v>
      </x:c>
      <x:c r="L74" s="69" t="str">
        <x:v>ADMIN</x:v>
      </x:c>
      <x:c r="M74" s="69" t="str">
        <x:v>ADM</x:v>
      </x:c>
      <x:c r="N74" s="69" t="str">
        <x:v>DIVERSITY_INDEX</x:v>
      </x:c>
      <x:c r="O74" s="69" t="str">
        <x:v>EMPLOYMENT_OR_VALUE_ADDED</x:v>
      </x:c>
      <x:c r="P74" s="69" t="str">
        <x:v>−Σ(s_k×ln(s_k))，s_k为行业就业或增加值份额</x:v>
      </x:c>
      <x:c r="Q74" s="69" t="str">
        <x:v>不计算；不得用面积比例伪造物理边界统计值。</x:v>
      </x:c>
      <x:c r="R74" s="69" t="str">
        <x:v>按 assigned_admin_fragments 及指标适用权重聚合，率值先汇总分子分母后重算。</x:v>
      </x:c>
      <x:c r="S74" s="69" t="str">
        <x:v>不适用。</x:v>
      </x:c>
      <x:c r="T74" s="69" t="str">
        <x:v>建议口径／待数据源确认</x:v>
      </x:c>
      <x:c r="U74" s="69" t="str">
        <x:v>就业或增加值口径二选一。</x:v>
      </x:c>
      <x:c r="V74" s="69" t="str">
        <x:v>GCI-IND-v2.3-GEE-B05</x:v>
      </x:c>
      <x:c r="W74" s="69" t="str">
        <x:v>GC100-20260827-V1.0.1</x:v>
      </x:c>
    </x:row>
    <x:row r="75" ht="48" customHeight="1">
      <x:c r="A75" s="69" t="str">
        <x:v>可持续性（Sustainability）</x:v>
      </x:c>
      <x:c r="B75" s="70" t="n">
        <x:v>0.2</x:v>
      </x:c>
      <x:c r="C75" s="69" t="str">
        <x:v>经济可持续（Economic Sustainability）</x:v>
      </x:c>
      <x:c r="D75" s="70" t="n">
        <x:v>0.45</x:v>
      </x:c>
      <x:c r="E75" s="69" t="n">
        <x:v>82</x:v>
      </x:c>
      <x:c r="F75" s="69" t="str">
        <x:v>经济稳定性（Economic stability）</x:v>
      </x:c>
      <x:c r="G75" s="71" t="n">
        <x:v>0.14</x:v>
      </x:c>
      <x:c r="H75" s="71" t="n">
        <x:f>B75*D75*G75</x:f>
        <x:v>0.012600000000000002</x:v>
      </x:c>
      <x:c r="I75" s="72" t="n">
        <x:v>0</x:v>
      </x:c>
      <x:c r="J75" s="69" t="str">
        <x:v>ADMIN_ECONOMIC_TIME_SERIES</x:v>
      </x:c>
      <x:c r="K75" s="69" t="str">
        <x:v>ADMIN</x:v>
      </x:c>
      <x:c r="L75" s="69" t="str">
        <x:v>ADMIN</x:v>
      </x:c>
      <x:c r="M75" s="69" t="str">
        <x:v>ADM</x:v>
      </x:c>
      <x:c r="N75" s="69" t="str">
        <x:v>VOLATILITY_INDEX</x:v>
      </x:c>
      <x:c r="O75" s="69" t="str">
        <x:v>DIRECT_CITY_RECORD</x:v>
      </x:c>
      <x:c r="P75" s="69" t="str">
        <x:v>1−Normalize(SD(GDP_growth_t))，或预先确定稳定性公式</x:v>
      </x:c>
      <x:c r="Q75" s="69" t="str">
        <x:v>不计算；不得用面积比例伪造物理边界统计值。</x:v>
      </x:c>
      <x:c r="R75" s="69" t="str">
        <x:v>按 assigned_admin_fragments 及指标适用权重聚合，率值先汇总分子分母后重算。</x:v>
      </x:c>
      <x:c r="S75" s="69" t="str">
        <x:v>不适用。</x:v>
      </x:c>
      <x:c r="T75" s="69" t="str">
        <x:v>建议口径／待数据源确认</x:v>
      </x:c>
      <x:c r="U75" s="69" t="str">
        <x:v>时间窗和标准化方向需固定。</x:v>
      </x:c>
      <x:c r="V75" s="69" t="str">
        <x:v>GCI-IND-v2.3-GEE-B05</x:v>
      </x:c>
      <x:c r="W75" s="69" t="str">
        <x:v>GC100-20260827-V1.0.1</x:v>
      </x:c>
    </x:row>
    <x:row r="76" ht="48" customHeight="1">
      <x:c r="A76" s="69" t="str">
        <x:v>可持续性（Sustainability）</x:v>
      </x:c>
      <x:c r="B76" s="70" t="n">
        <x:v>0.2</x:v>
      </x:c>
      <x:c r="C76" s="69" t="str">
        <x:v>经济可持续（Economic Sustainability）</x:v>
      </x:c>
      <x:c r="D76" s="70" t="n">
        <x:v>0.45</x:v>
      </x:c>
      <x:c r="E76" s="69" t="n">
        <x:v>83</x:v>
      </x:c>
      <x:c r="F76" s="69" t="str">
        <x:v>企业注册平均时常（Average time for enterprise registration）</x:v>
      </x:c>
      <x:c r="G76" s="71" t="n">
        <x:v>0.08</x:v>
      </x:c>
      <x:c r="H76" s="71" t="n">
        <x:f>B76*D76*G76</x:f>
        <x:v>0.007200000000000001</x:v>
      </x:c>
      <x:c r="I76" s="72" t="n">
        <x:v>0</x:v>
      </x:c>
      <x:c r="J76" s="69" t="str">
        <x:v>ADMIN_BUSINESS_STAT</x:v>
      </x:c>
      <x:c r="K76" s="69" t="str">
        <x:v>ADMIN</x:v>
      </x:c>
      <x:c r="L76" s="69" t="str">
        <x:v>ADMIN</x:v>
      </x:c>
      <x:c r="M76" s="69" t="str">
        <x:v>ADM</x:v>
      </x:c>
      <x:c r="N76" s="69" t="str">
        <x:v>MEAN_OR_MEDIAN</x:v>
      </x:c>
      <x:c r="O76" s="69" t="str">
        <x:v>DIRECT_CITY_RECORD</x:v>
      </x:c>
      <x:c r="P76" s="69" t="str">
        <x:v>Median(Days_to_register_enterprise)</x:v>
      </x:c>
      <x:c r="Q76" s="69" t="str">
        <x:v>不计算；不得用面积比例伪造物理边界统计值。</x:v>
      </x:c>
      <x:c r="R76" s="69" t="str">
        <x:v>按 assigned_admin_fragments 及指标适用权重聚合，率值先汇总分子分母后重算。</x:v>
      </x:c>
      <x:c r="S76" s="69" t="str">
        <x:v>不适用。</x:v>
      </x:c>
      <x:c r="T76" s="69" t="str">
        <x:v>建议口径／待数据源确认</x:v>
      </x:c>
      <x:c r="U76" s="69" t="str">
        <x:v>优先中位数。</x:v>
      </x:c>
      <x:c r="V76" s="69" t="str">
        <x:v>GCI-IND-v2.3-GEE-B05</x:v>
      </x:c>
      <x:c r="W76" s="69" t="str">
        <x:v>GC100-20260827-V1.0.1</x:v>
      </x:c>
    </x:row>
    <x:row r="77" ht="48" customHeight="1">
      <x:c r="A77" s="69" t="str">
        <x:v>可持续性（Sustainability）</x:v>
      </x:c>
      <x:c r="B77" s="70" t="n">
        <x:v>0.2</x:v>
      </x:c>
      <x:c r="C77" s="69" t="str">
        <x:v>经济可持续（Economic Sustainability）</x:v>
      </x:c>
      <x:c r="D77" s="70" t="n">
        <x:v>0.45</x:v>
      </x:c>
      <x:c r="E77" s="69" t="n">
        <x:v>84</x:v>
      </x:c>
      <x:c r="F77" s="69" t="str">
        <x:v>20年企业数量（Number of enterprises with 20+ years of operation）</x:v>
      </x:c>
      <x:c r="G77" s="71" t="n">
        <x:v>0.1</x:v>
      </x:c>
      <x:c r="H77" s="71" t="n">
        <x:f>B77*D77*G77</x:f>
        <x:v>0.009000000000000001</x:v>
      </x:c>
      <x:c r="I77" s="72" t="n">
        <x:v>0</x:v>
      </x:c>
      <x:c r="J77" s="69" t="str">
        <x:v>ADMIN_ENTERPRISE_REGISTRY</x:v>
      </x:c>
      <x:c r="K77" s="69" t="str">
        <x:v>ADMIN</x:v>
      </x:c>
      <x:c r="L77" s="69" t="str">
        <x:v>ADMIN</x:v>
      </x:c>
      <x:c r="M77" s="69" t="str">
        <x:v>ADM</x:v>
      </x:c>
      <x:c r="N77" s="69" t="str">
        <x:v>DEDUP_COUNT</x:v>
      </x:c>
      <x:c r="O77" s="69" t="str">
        <x:v>DIRECT_CITY_RECORD</x:v>
      </x:c>
      <x:c r="P77" s="69" t="str">
        <x:v>CountDistinct(Enterprise_ID with operating_years≥20)</x:v>
      </x:c>
      <x:c r="Q77" s="69" t="str">
        <x:v>不计算；不得用面积比例伪造物理边界统计值。</x:v>
      </x:c>
      <x:c r="R77" s="69" t="str">
        <x:v>按 assigned_admin_fragments 及指标适用权重聚合，率值先汇总分子分母后重算。</x:v>
      </x:c>
      <x:c r="S77" s="69" t="str">
        <x:v>不适用。</x:v>
      </x:c>
      <x:c r="T77" s="69" t="str">
        <x:v>建议口径／待数据源确认</x:v>
      </x:c>
      <x:c r="U77" s="69" t="str">
        <x:v>可另算占全部企业比例。</x:v>
      </x:c>
      <x:c r="V77" s="69" t="str">
        <x:v>GCI-IND-v2.3-GEE-B05</x:v>
      </x:c>
      <x:c r="W77" s="69" t="str">
        <x:v>GC100-20260827-V1.0.1</x:v>
      </x:c>
    </x:row>
    <x:row r="78" ht="48" customHeight="1">
      <x:c r="A78" s="69" t="str">
        <x:v>互联性（Connectivity）</x:v>
      </x:c>
      <x:c r="B78" s="70" t="n">
        <x:v>0.15</x:v>
      </x:c>
      <x:c r="C78" s="69" t="str">
        <x:v>国际/区域合作（International/Regional Cooperation）</x:v>
      </x:c>
      <x:c r="D78" s="70" t="n">
        <x:v>0.7</x:v>
      </x:c>
      <x:c r="E78" s="69" t="n">
        <x:v>85</x:v>
      </x:c>
      <x:c r="F78" s="69" t="str">
        <x:v>机场数量（Number of Arrivals and Departures at Airports）</x:v>
      </x:c>
      <x:c r="G78" s="71" t="n">
        <x:v>0.16</x:v>
      </x:c>
      <x:c r="H78" s="71" t="n">
        <x:f>B78*D78*G78</x:f>
        <x:v>0.0168</x:v>
      </x:c>
      <x:c r="I78" s="72" t="n">
        <x:v>1</x:v>
      </x:c>
      <x:c r="J78" s="69" t="str">
        <x:v>GEOCODED_AIRPORT_AND_OPERATION</x:v>
      </x:c>
      <x:c r="K78" s="69" t="str">
        <x:v>DUAL</x:v>
      </x:c>
      <x:c r="L78" s="69" t="str">
        <x:v>DUAL</x:v>
      </x:c>
      <x:c r="M78" s="69" t="str">
        <x:v>PHY + ADM</x:v>
      </x:c>
      <x:c r="N78" s="69" t="str">
        <x:v>DEDUP_COUNT_OR_SUM</x:v>
      </x:c>
      <x:c r="O78" s="69" t="str">
        <x:v>POINT_OR_SERVICE_ASSIGNMENT</x:v>
      </x:c>
      <x:c r="P78" s="69" t="str">
        <x:v>机场数量=CountDistinct(Airport_ID)；起降量=Σ(Arrivals+Departures)</x:v>
      </x:c>
      <x:c r="Q78" s="69" t="str">
        <x:v>在 city_100km_ultimate 物理边界内独立计算。</x:v>
      </x:c>
      <x:c r="R78" s="69" t="str">
        <x:v>在对应行政片段/行政统计口径内独立计算。</x:v>
      </x:c>
      <x:c r="S78" s="69" t="str">
        <x:v>同一源数据、同一年度、同一算法分别运行两次，输出 *_PHY 与 *_ADM；两值不相加、不平均。</x:v>
      </x:c>
      <x:c r="T78" s="69" t="str">
        <x:v>V2已定义</x:v>
      </x:c>
      <x:c r="U78" s="69" t="str">
        <x:v>当前中英文名称不一致，需确定最终指标。</x:v>
      </x:c>
      <x:c r="V78" s="69" t="str">
        <x:v>GCI-IND-v2.3-GEE-B05</x:v>
      </x:c>
      <x:c r="W78" s="69" t="str">
        <x:v>GC100-20260827-V1.0.1</x:v>
      </x:c>
    </x:row>
    <x:row r="79" ht="48" customHeight="1">
      <x:c r="A79" s="69" t="str">
        <x:v>互联性（Connectivity）</x:v>
      </x:c>
      <x:c r="B79" s="70" t="n">
        <x:v>0.15</x:v>
      </x:c>
      <x:c r="C79" s="69" t="str">
        <x:v>国际/区域合作（International/Regional Cooperation）</x:v>
      </x:c>
      <x:c r="D79" s="70" t="n">
        <x:v>0.7</x:v>
      </x:c>
      <x:c r="E79" s="69" t="n">
        <x:v>86</x:v>
      </x:c>
      <x:c r="F79" s="69" t="str">
        <x:v>航线数量（International Freight Flows）</x:v>
      </x:c>
      <x:c r="G79" s="71" t="n">
        <x:v>0.18</x:v>
      </x:c>
      <x:c r="H79" s="71" t="n">
        <x:f>B79*D79*G79</x:f>
        <x:v>0.0189</x:v>
      </x:c>
      <x:c r="I79" s="72" t="n">
        <x:v>1</x:v>
      </x:c>
      <x:c r="J79" s="69" t="str">
        <x:v>AIRPORT_OPERATION_RECORD</x:v>
      </x:c>
      <x:c r="K79" s="69" t="str">
        <x:v>ADMIN</x:v>
      </x:c>
      <x:c r="L79" s="69" t="str">
        <x:v>ADMIN</x:v>
      </x:c>
      <x:c r="M79" s="69" t="str">
        <x:v>ADM</x:v>
      </x:c>
      <x:c r="N79" s="69" t="str">
        <x:v>DEDUP_COUNT</x:v>
      </x:c>
      <x:c r="O79" s="69" t="str">
        <x:v>SERVICE_AIRPORT_ASSIGNMENT</x:v>
      </x:c>
      <x:c r="P79" s="69" t="str">
        <x:v>CountDistinct(ActiveRoute_ID by assigned service airports)</x:v>
      </x:c>
      <x:c r="Q79" s="69" t="str">
        <x:v>不计算；不得用面积比例伪造物理边界统计值。</x:v>
      </x:c>
      <x:c r="R79" s="69" t="str">
        <x:v>按 assigned_admin_fragments 及指标适用权重聚合，率值先汇总分子分母后重算。</x:v>
      </x:c>
      <x:c r="S79" s="69" t="str">
        <x:v>不适用。</x:v>
      </x:c>
      <x:c r="T79" s="69" t="str">
        <x:v>V2已定义</x:v>
      </x:c>
      <x:c r="U79" s="69" t="str">
        <x:v>不按机场点是否落入GUB裁剪。</x:v>
      </x:c>
      <x:c r="V79" s="69" t="str">
        <x:v>GCI-IND-v2.3-GEE-B05</x:v>
      </x:c>
      <x:c r="W79" s="69" t="str">
        <x:v>GC100-20260827-V1.0.1</x:v>
      </x:c>
    </x:row>
    <x:row r="80" ht="48" customHeight="1">
      <x:c r="A80" s="69" t="str">
        <x:v>互联性（Connectivity）</x:v>
      </x:c>
      <x:c r="B80" s="70" t="n">
        <x:v>0.15</x:v>
      </x:c>
      <x:c r="C80" s="69" t="str">
        <x:v>国际/区域合作（International/Regional Cooperation）</x:v>
      </x:c>
      <x:c r="D80" s="70" t="n">
        <x:v>0.7</x:v>
      </x:c>
      <x:c r="E80" s="69" t="n">
        <x:v>87</x:v>
      </x:c>
      <x:c r="F80" s="69" t="str">
        <x:v>飞机乘客数量（Number of Air Passengers）</x:v>
      </x:c>
      <x:c r="G80" s="71" t="n">
        <x:v>0.16</x:v>
      </x:c>
      <x:c r="H80" s="71" t="n">
        <x:f>B80*D80*G80</x:f>
        <x:v>0.0168</x:v>
      </x:c>
      <x:c r="I80" s="72" t="n">
        <x:v>1</x:v>
      </x:c>
      <x:c r="J80" s="69" t="str">
        <x:v>AIRPORT_OPERATION_RECORD</x:v>
      </x:c>
      <x:c r="K80" s="69" t="str">
        <x:v>ADMIN</x:v>
      </x:c>
      <x:c r="L80" s="69" t="str">
        <x:v>ADMIN</x:v>
      </x:c>
      <x:c r="M80" s="69" t="str">
        <x:v>ADM</x:v>
      </x:c>
      <x:c r="N80" s="69" t="str">
        <x:v>SUM</x:v>
      </x:c>
      <x:c r="O80" s="69" t="str">
        <x:v>SERVICE_AIRPORT_ASSIGNMENT</x:v>
      </x:c>
      <x:c r="P80" s="69" t="str">
        <x:v>Σ(AnnualPassengers of assigned service airports)</x:v>
      </x:c>
      <x:c r="Q80" s="69" t="str">
        <x:v>不计算；不得用面积比例伪造物理边界统计值。</x:v>
      </x:c>
      <x:c r="R80" s="69" t="str">
        <x:v>按 assigned_admin_fragments 及指标适用权重聚合，率值先汇总分子分母后重算。</x:v>
      </x:c>
      <x:c r="S80" s="69" t="str">
        <x:v>不适用。</x:v>
      </x:c>
      <x:c r="T80" s="69" t="str">
        <x:v>V2已定义</x:v>
      </x:c>
      <x:c r="U80" s="69" t="str">
        <x:v>多城市共享机场需制定归属或分配规则。</x:v>
      </x:c>
      <x:c r="V80" s="69" t="str">
        <x:v>GCI-IND-v2.3-GEE-B05</x:v>
      </x:c>
      <x:c r="W80" s="69" t="str">
        <x:v>GC100-20260827-V1.0.1</x:v>
      </x:c>
    </x:row>
    <x:row r="81" ht="48" customHeight="1">
      <x:c r="A81" s="69" t="str">
        <x:v>互联性（Connectivity）</x:v>
      </x:c>
      <x:c r="B81" s="70" t="n">
        <x:v>0.15</x:v>
      </x:c>
      <x:c r="C81" s="69" t="str">
        <x:v>国际/区域合作（International/Regional Cooperation）</x:v>
      </x:c>
      <x:c r="D81" s="70" t="n">
        <x:v>0.7</x:v>
      </x:c>
      <x:c r="E81" s="69" t="n">
        <x:v>88</x:v>
      </x:c>
      <x:c r="F81" s="69" t="str">
        <x:v>机场可达性（Travel Time to Airports）</x:v>
      </x:c>
      <x:c r="G81" s="71" t="n">
        <x:v>0.14</x:v>
      </x:c>
      <x:c r="H81" s="71" t="n">
        <x:f>B81*D81*G81</x:f>
        <x:v>0.014700000000000001</x:v>
      </x:c>
      <x:c r="I81" s="72" t="n">
        <x:v>1</x:v>
      </x:c>
      <x:c r="J81" s="69" t="str">
        <x:v>NETWORK_AND_POP_GRID</x:v>
      </x:c>
      <x:c r="K81" s="69" t="str">
        <x:v>DUAL</x:v>
      </x:c>
      <x:c r="L81" s="69" t="str">
        <x:v>DUAL</x:v>
      </x:c>
      <x:c r="M81" s="69" t="str">
        <x:v>PHY + ADM</x:v>
      </x:c>
      <x:c r="N81" s="69" t="str">
        <x:v>POP_WEIGHTED_MEAN</x:v>
      </x:c>
      <x:c r="O81" s="69" t="str">
        <x:v>POPULATION_ORIGIN</x:v>
      </x:c>
      <x:c r="P81" s="69" t="str">
        <x:v>Σ(TravelTime_i_to_assigned_airport×Population_i)/Σ(Population_i)</x:v>
      </x:c>
      <x:c r="Q81" s="69" t="str">
        <x:v>在 city_100km_ultimate 物理边界内独立计算。</x:v>
      </x:c>
      <x:c r="R81" s="69" t="str">
        <x:v>在对应行政片段/行政统计口径内独立计算。</x:v>
      </x:c>
      <x:c r="S81" s="69" t="str">
        <x:v>同一源数据、同一年度、同一算法分别运行两次，输出 *_PHY 与 *_ADM；两值不相加、不平均。</x:v>
      </x:c>
      <x:c r="T81" s="69" t="str">
        <x:v>V2已定义</x:v>
      </x:c>
      <x:c r="U81" s="69" t="str">
        <x:v>物理与行政边界分别选择起点人口。</x:v>
      </x:c>
      <x:c r="V81" s="69" t="str">
        <x:v>GCI-IND-v2.3-GEE-B05</x:v>
      </x:c>
      <x:c r="W81" s="69" t="str">
        <x:v>GC100-20260827-V1.0.1</x:v>
      </x:c>
    </x:row>
    <x:row r="82" ht="48" customHeight="1">
      <x:c r="A82" s="69" t="str">
        <x:v>互联性（Connectivity）</x:v>
      </x:c>
      <x:c r="B82" s="70" t="n">
        <x:v>0.15</x:v>
      </x:c>
      <x:c r="C82" s="69" t="str">
        <x:v>国际/区域合作（International/Regional Cooperation）</x:v>
      </x:c>
      <x:c r="D82" s="70" t="n">
        <x:v>0.7</x:v>
      </x:c>
      <x:c r="E82" s="69" t="n">
        <x:v>89</x:v>
      </x:c>
      <x:c r="F82" s="69" t="str">
        <x:v>加入国家合作组织数量（Number of joined international cooperation organizations）</x:v>
      </x:c>
      <x:c r="G82" s="71" t="n">
        <x:v>0.17</x:v>
      </x:c>
      <x:c r="H82" s="71" t="n">
        <x:f>B82*D82*G82</x:f>
        <x:v>0.01785</x:v>
      </x:c>
      <x:c r="I82" s="72" t="n">
        <x:v>1</x:v>
      </x:c>
      <x:c r="J82" s="69" t="str">
        <x:v>CITY_MEMBERSHIP_RECORD</x:v>
      </x:c>
      <x:c r="K82" s="69" t="str">
        <x:v>ADMIN</x:v>
      </x:c>
      <x:c r="L82" s="69" t="str">
        <x:v>ADMIN</x:v>
      </x:c>
      <x:c r="M82" s="69" t="str">
        <x:v>ADM</x:v>
      </x:c>
      <x:c r="N82" s="69" t="str">
        <x:v>DEDUP_COUNT</x:v>
      </x:c>
      <x:c r="O82" s="69" t="str">
        <x:v>DIRECT_CITY_RECORD</x:v>
      </x:c>
      <x:c r="P82" s="69" t="str">
        <x:v>CountDistinct(InternationalOrganizationMembership_ID)</x:v>
      </x:c>
      <x:c r="Q82" s="69" t="str">
        <x:v>不计算；不得用面积比例伪造物理边界统计值。</x:v>
      </x:c>
      <x:c r="R82" s="69" t="str">
        <x:v>按 assigned_admin_fragments 及指标适用权重聚合，率值先汇总分子分母后重算。</x:v>
      </x:c>
      <x:c r="S82" s="69" t="str">
        <x:v>不适用。</x:v>
      </x:c>
      <x:c r="T82" s="69" t="str">
        <x:v>V2已定义</x:v>
      </x:c>
      <x:c r="U82" s="69" t="str">
        <x:v>明确城市政府或城市机构会员资格。</x:v>
      </x:c>
      <x:c r="V82" s="69" t="str">
        <x:v>GCI-IND-v2.3-GEE-B05</x:v>
      </x:c>
      <x:c r="W82" s="69" t="str">
        <x:v>GC100-20260827-V1.0.1</x:v>
      </x:c>
    </x:row>
    <x:row r="83" ht="48" customHeight="1">
      <x:c r="A83" s="69" t="str">
        <x:v>互联性（Connectivity）</x:v>
      </x:c>
      <x:c r="B83" s="70" t="n">
        <x:v>0.15</x:v>
      </x:c>
      <x:c r="C83" s="69" t="str">
        <x:v>国际/区域合作（International/Regional Cooperation）</x:v>
      </x:c>
      <x:c r="D83" s="70" t="n">
        <x:v>0.7</x:v>
      </x:c>
      <x:c r="E83" s="69" t="n">
        <x:v>90</x:v>
      </x:c>
      <x:c r="F83" s="69" t="str">
        <x:v>国际或区域合作组织总部（Headquarters of international/regional cooperation organizations）</x:v>
      </x:c>
      <x:c r="G83" s="71" t="n">
        <x:v>0.19</x:v>
      </x:c>
      <x:c r="H83" s="71" t="n">
        <x:f>B83*D83*G83</x:f>
        <x:v>0.01995</x:v>
      </x:c>
      <x:c r="I83" s="72" t="n">
        <x:v>1</x:v>
      </x:c>
      <x:c r="J83" s="69" t="str">
        <x:v>CITY_ORGANIZATION_RECORD</x:v>
      </x:c>
      <x:c r="K83" s="69" t="str">
        <x:v>ADMIN</x:v>
      </x:c>
      <x:c r="L83" s="69" t="str">
        <x:v>ADMIN</x:v>
      </x:c>
      <x:c r="M83" s="69" t="str">
        <x:v>ADM</x:v>
      </x:c>
      <x:c r="N83" s="69" t="str">
        <x:v>DEDUP_COUNT</x:v>
      </x:c>
      <x:c r="O83" s="69" t="str">
        <x:v>DIRECT_CITY_RECORD</x:v>
      </x:c>
      <x:c r="P83" s="69" t="str">
        <x:v>CountDistinct(InternationalOrganization_HQ_ID assigned to city)</x:v>
      </x:c>
      <x:c r="Q83" s="69" t="str">
        <x:v>不计算；不得用面积比例伪造物理边界统计值。</x:v>
      </x:c>
      <x:c r="R83" s="69" t="str">
        <x:v>按 assigned_admin_fragments 及指标适用权重聚合，率值先汇总分子分母后重算。</x:v>
      </x:c>
      <x:c r="S83" s="69" t="str">
        <x:v>不适用。</x:v>
      </x:c>
      <x:c r="T83" s="69" t="str">
        <x:v>V2已定义</x:v>
      </x:c>
      <x:c r="U83" s="69" t="str">
        <x:v>总部归属以官方地址为准。</x:v>
      </x:c>
      <x:c r="V83" s="69" t="str">
        <x:v>GCI-IND-v2.3-GEE-B05</x:v>
      </x:c>
      <x:c r="W83" s="69" t="str">
        <x:v>GC100-20260827-V1.0.1</x:v>
      </x:c>
    </x:row>
    <x:row r="84" ht="48" customHeight="1">
      <x:c r="A84" s="69" t="str">
        <x:v>互联性（Connectivity）</x:v>
      </x:c>
      <x:c r="B84" s="70" t="n">
        <x:v>0.15</x:v>
      </x:c>
      <x:c r="C84" s="69" t="str">
        <x:v>网络活跃（Network Activity）</x:v>
      </x:c>
      <x:c r="D84" s="70" t="n">
        <x:v>0.3</x:v>
      </x:c>
      <x:c r="E84" s="69" t="n">
        <x:v>91</x:v>
      </x:c>
      <x:c r="F84" s="69" t="str">
        <x:v>上网速度（Internet speed）</x:v>
      </x:c>
      <x:c r="G84" s="71" t="n">
        <x:v>0.4</x:v>
      </x:c>
      <x:c r="H84" s="71" t="n">
        <x:f>B84*D84*G84</x:f>
        <x:v>0.018</x:v>
      </x:c>
      <x:c r="I84" s="72" t="n">
        <x:v>1</x:v>
      </x:c>
      <x:c r="J84" s="69" t="str">
        <x:v>GEOLOCATED_SPEED_TEST</x:v>
      </x:c>
      <x:c r="K84" s="69" t="str">
        <x:v>DUAL</x:v>
      </x:c>
      <x:c r="L84" s="69" t="str">
        <x:v>DUAL</x:v>
      </x:c>
      <x:c r="M84" s="69" t="str">
        <x:v>PHY + ADM</x:v>
      </x:c>
      <x:c r="N84" s="69" t="str">
        <x:v>POP_WEIGHTED_MEDIAN</x:v>
      </x:c>
      <x:c r="O84" s="69" t="str">
        <x:v>POPULATION_GRID</x:v>
      </x:c>
      <x:c r="P84" s="69" t="str">
        <x:v>按边界内测速点计算人口加权中位下载速度</x:v>
      </x:c>
      <x:c r="Q84" s="69" t="str">
        <x:v>在 city_100km_ultimate 物理边界内独立计算。</x:v>
      </x:c>
      <x:c r="R84" s="69" t="str">
        <x:v>在对应行政片段/行政统计口径内独立计算。</x:v>
      </x:c>
      <x:c r="S84" s="69" t="str">
        <x:v>同一源数据、同一年度、同一算法分别运行两次，输出 *_PHY 与 *_ADM；两值不相加、不平均。</x:v>
      </x:c>
      <x:c r="T84" s="69" t="str">
        <x:v>V2已定义</x:v>
      </x:c>
      <x:c r="U84" s="69" t="str">
        <x:v>测速样本偏差与移动/固定网络需分开。</x:v>
      </x:c>
      <x:c r="V84" s="69" t="str">
        <x:v>GCI-IND-v2.3-GEE-B05</x:v>
      </x:c>
      <x:c r="W84" s="69" t="str">
        <x:v>GC100-20260827-V1.0.1</x:v>
      </x:c>
    </x:row>
    <x:row r="85" ht="48" customHeight="1">
      <x:c r="A85" s="69" t="str">
        <x:v>互联性（Connectivity）</x:v>
      </x:c>
      <x:c r="B85" s="70" t="n">
        <x:v>0.15</x:v>
      </x:c>
      <x:c r="C85" s="69" t="str">
        <x:v>网络活跃（Network Activity）</x:v>
      </x:c>
      <x:c r="D85" s="70" t="n">
        <x:v>0.3</x:v>
      </x:c>
      <x:c r="E85" s="69" t="n">
        <x:v>92</x:v>
      </x:c>
      <x:c r="F85" s="69" t="str">
        <x:v>智能手机拥有量（Smartphone ownership）</x:v>
      </x:c>
      <x:c r="G85" s="71" t="n">
        <x:v>0.3</x:v>
      </x:c>
      <x:c r="H85" s="71" t="n">
        <x:f>B85*D85*G85</x:f>
        <x:v>0.0135</x:v>
      </x:c>
      <x:c r="I85" s="72" t="n">
        <x:v>1</x:v>
      </x:c>
      <x:c r="J85" s="69" t="str">
        <x:v>ADMIN_SURVEY_STAT</x:v>
      </x:c>
      <x:c r="K85" s="69" t="str">
        <x:v>ADMIN</x:v>
      </x:c>
      <x:c r="L85" s="69" t="str">
        <x:v>ADMIN</x:v>
      </x:c>
      <x:c r="M85" s="69" t="str">
        <x:v>ADM</x:v>
      </x:c>
      <x:c r="N85" s="69" t="str">
        <x:v>RATIO_RECALC</x:v>
      </x:c>
      <x:c r="O85" s="69" t="str">
        <x:v>DIRECT_CITY_RECORD</x:v>
      </x:c>
      <x:c r="P85" s="69" t="str">
        <x:v>SmartphoneOwners/Population_age_threshold×100%</x:v>
      </x:c>
      <x:c r="Q85" s="69" t="str">
        <x:v>不计算；不得用面积比例伪造物理边界统计值。</x:v>
      </x:c>
      <x:c r="R85" s="69" t="str">
        <x:v>按 assigned_admin_fragments 及指标适用权重聚合，率值先汇总分子分母后重算。</x:v>
      </x:c>
      <x:c r="S85" s="69" t="str">
        <x:v>不适用。</x:v>
      </x:c>
      <x:c r="T85" s="69" t="str">
        <x:v>V2已定义</x:v>
      </x:c>
      <x:c r="U85" s="69" t="str">
        <x:v>统一调查年龄范围。</x:v>
      </x:c>
      <x:c r="V85" s="69" t="str">
        <x:v>GCI-IND-v2.3-GEE-B05</x:v>
      </x:c>
      <x:c r="W85" s="69" t="str">
        <x:v>GC100-20260827-V1.0.1</x:v>
      </x:c>
    </x:row>
    <x:row r="86" ht="48" customHeight="1">
      <x:c r="A86" s="69" t="str">
        <x:v>互联性（Connectivity）</x:v>
      </x:c>
      <x:c r="B86" s="70" t="n">
        <x:v>0.15</x:v>
      </x:c>
      <x:c r="C86" s="69" t="str">
        <x:v>网络活跃（Network Activity）</x:v>
      </x:c>
      <x:c r="D86" s="70" t="n">
        <x:v>0.3</x:v>
      </x:c>
      <x:c r="E86" s="69" t="n">
        <x:v>93</x:v>
      </x:c>
      <x:c r="F86" s="69" t="str">
        <x:v>网站访问量（Website traffic）</x:v>
      </x:c>
      <x:c r="G86" s="71" t="n">
        <x:v>0.3</x:v>
      </x:c>
      <x:c r="H86" s="71" t="n">
        <x:f>B86*D86*G86</x:f>
        <x:v>0.0135</x:v>
      </x:c>
      <x:c r="I86" s="72" t="n">
        <x:v>1</x:v>
      </x:c>
      <x:c r="J86" s="69" t="str">
        <x:v>CITY_DIGITAL_STAT</x:v>
      </x:c>
      <x:c r="K86" s="69" t="str">
        <x:v>ADMIN</x:v>
      </x:c>
      <x:c r="L86" s="69" t="str">
        <x:v>ADMIN</x:v>
      </x:c>
      <x:c r="M86" s="69" t="str">
        <x:v>ADM</x:v>
      </x:c>
      <x:c r="N86" s="69" t="str">
        <x:v>DIRECT_OR_SUM</x:v>
      </x:c>
      <x:c r="O86" s="69" t="str">
        <x:v>DIRECT_CITY_RECORD</x:v>
      </x:c>
      <x:c r="P86" s="69" t="str">
        <x:v>Σ(WebsiteVisits assigned to city and period)</x:v>
      </x:c>
      <x:c r="Q86" s="69" t="str">
        <x:v>不计算；不得用面积比例伪造物理边界统计值。</x:v>
      </x:c>
      <x:c r="R86" s="69" t="str">
        <x:v>按 assigned_admin_fragments 及指标适用权重聚合，率值先汇总分子分母后重算。</x:v>
      </x:c>
      <x:c r="S86" s="69" t="str">
        <x:v>不适用。</x:v>
      </x:c>
      <x:c r="T86" s="69" t="str">
        <x:v>V2已定义</x:v>
      </x:c>
      <x:c r="U86" s="69" t="str">
        <x:v>需明确统计网站集合、机器人流量与时间窗。</x:v>
      </x:c>
      <x:c r="V86" s="69" t="str">
        <x:v>GCI-IND-v2.3-GEE-B05</x:v>
      </x:c>
      <x:c r="W86" s="69" t="str">
        <x:v>GC100-20260827-V1.0.1</x:v>
      </x:c>
    </x:row>
  </x:sheetData>
  <x:conditionalFormatting sqref="K2:L86">
    <x:cfRule type="containsText" dxfId="0" priority="1" operator="containsText" text="PHYSICAL"/>
    <x:cfRule type="containsText" dxfId="1" priority="2" operator="containsText" text="ADMIN"/>
    <x:cfRule type="containsText" dxfId="2" priority="3" operator="containsText" text="DUAL"/>
  </x:conditionalFormatting>
  <x:conditionalFormatting sqref="T2:T86">
    <x:cfRule type="containsText" dxfId="3" priority="4" operator="containsText" text="待数据源确认"/>
  </x:conditionalFormatting>
  <x:dataValidations count="2">
    <x:dataValidation type="list" sqref="K2:L86">
      <x:formula1>"PHYSICAL,ADMIN,DUAL,TBD"</x:formula1>
    </x:dataValidation>
    <x:dataValidation type="list" sqref="T2:T86">
      <x:formula1>"V2已定义,建议口径／待数据源确认,需修订"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c471b9d44342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42" hidden="0" customWidth="1"/>
    <x:col min="5" max="5" width="24" hidden="0" customWidth="1"/>
  </x:cols>
  <x:sheetData>
    <x:row r="1">
      <x:c r="A1" s="75" t="str">
        <x:v>类别</x:v>
      </x:c>
      <x:c r="B1" s="75" t="str">
        <x:v>代码</x:v>
      </x:c>
      <x:c r="C1" s="75" t="str">
        <x:v>定义</x:v>
      </x:c>
      <x:c r="D1" s="75" t="str">
        <x:v>计算规则</x:v>
      </x:c>
      <x:c r="E1" s="75" t="str">
        <x:v>输出</x:v>
      </x:c>
    </x:row>
    <x:row r="2">
      <x:c r="A2" s="69" t="str">
        <x:v>边界</x:v>
      </x:c>
      <x:c r="B2" s="69" t="str">
        <x:v>PHYSICAL</x:v>
      </x:c>
      <x:c r="C2" s="69" t="str">
        <x:v>源数据仅按最终物理城市边界统计</x:v>
      </x:c>
      <x:c r="D2" s="69" t="str">
        <x:v>在 city_100km_ultimate 内计算</x:v>
      </x:c>
      <x:c r="E2" s="69" t="str">
        <x:v>*_PHY</x:v>
      </x:c>
    </x:row>
    <x:row r="3">
      <x:c r="A3" s="69" t="str">
        <x:v>边界</x:v>
      </x:c>
      <x:c r="B3" s="69" t="str">
        <x:v>ADMIN</x:v>
      </x:c>
      <x:c r="C3" s="69" t="str">
        <x:v>源数据按城市对应行政片段或城市行政统计统计</x:v>
      </x:c>
      <x:c r="D3" s="69" t="str">
        <x:v>按指标适用权重聚合</x:v>
      </x:c>
      <x:c r="E3" s="69" t="str">
        <x:v>*_ADM</x:v>
      </x:c>
    </x:row>
    <x:row r="4">
      <x:c r="A4" s="69" t="str">
        <x:v>边界</x:v>
      </x:c>
      <x:c r="B4" s="69" t="str">
        <x:v>DUAL</x:v>
      </x:c>
      <x:c r="C4" s="69" t="str">
        <x:v>同一指标可在两套边界上科学计算</x:v>
      </x:c>
      <x:c r="D4" s="69" t="str">
        <x:v>完全相同算法分别运行两次</x:v>
      </x:c>
      <x:c r="E4" s="69" t="str">
        <x:v>*_PHY + *_ADM</x:v>
      </x:c>
    </x:row>
    <x:row r="5">
      <x:c r="A5" s="69" t="str">
        <x:v>算子</x:v>
      </x:c>
      <x:c r="B5" s="69" t="str">
        <x:v>SUM</x:v>
      </x:c>
      <x:c r="C5" s="69" t="str">
        <x:v>总量求和</x:v>
      </x:c>
      <x:c r="D5" s="69" t="str">
        <x:v>求和前处理重复与缺失</x:v>
      </x:c>
      <x:c r="E5" s="69" t="str">
        <x:v>总量</x:v>
      </x:c>
    </x:row>
    <x:row r="6">
      <x:c r="A6" s="69" t="str">
        <x:v>算子</x:v>
      </x:c>
      <x:c r="B6" s="69" t="str">
        <x:v>DEDUP_COUNT</x:v>
      </x:c>
      <x:c r="C6" s="69" t="str">
        <x:v>唯一对象计数</x:v>
      </x:c>
      <x:c r="D6" s="69" t="str">
        <x:v>按稳定对象ID去重</x:v>
      </x:c>
      <x:c r="E6" s="69" t="str">
        <x:v>数量</x:v>
      </x:c>
    </x:row>
    <x:row r="7">
      <x:c r="A7" s="69" t="str">
        <x:v>算子</x:v>
      </x:c>
      <x:c r="B7" s="69" t="str">
        <x:v>AREA_WEIGHTED_MEAN</x:v>
      </x:c>
      <x:c r="C7" s="69" t="str">
        <x:v>面积加权均值</x:v>
      </x:c>
      <x:c r="D7" s="69" t="str">
        <x:v>Σ(Value×Area)/Σ(Area)</x:v>
      </x:c>
      <x:c r="E7" s="69" t="str">
        <x:v>均值</x:v>
      </x:c>
    </x:row>
    <x:row r="8">
      <x:c r="A8" s="69" t="str">
        <x:v>算子</x:v>
      </x:c>
      <x:c r="B8" s="69" t="str">
        <x:v>POP_WEIGHTED_MEAN</x:v>
      </x:c>
      <x:c r="C8" s="69" t="str">
        <x:v>人口加权均值</x:v>
      </x:c>
      <x:c r="D8" s="69" t="str">
        <x:v>Σ(Value×Population)/Σ(Population)</x:v>
      </x:c>
      <x:c r="E8" s="69" t="str">
        <x:v>暴露均值</x:v>
      </x:c>
    </x:row>
    <x:row r="9">
      <x:c r="A9" s="69" t="str">
        <x:v>算子</x:v>
      </x:c>
      <x:c r="B9" s="69" t="str">
        <x:v>RATIO_RECALC</x:v>
      </x:c>
      <x:c r="C9" s="69" t="str">
        <x:v>重新计算比例</x:v>
      </x:c>
      <x:c r="D9" s="69" t="str">
        <x:v>Σ(Numerator)/Σ(Denominator)</x:v>
      </x:c>
      <x:c r="E9" s="69" t="str">
        <x:v>比例</x:v>
      </x:c>
    </x:row>
    <x:row r="10">
      <x:c r="A10" s="69" t="str">
        <x:v>算子</x:v>
      </x:c>
      <x:c r="B10" s="69" t="str">
        <x:v>GROWTH_RECALC</x:v>
      </x:c>
      <x:c r="C10" s="69" t="str">
        <x:v>重新计算增长率</x:v>
      </x:c>
      <x:c r="D10" s="69" t="str">
        <x:v>(V_t1−V_t0)/V_t0</x:v>
      </x:c>
      <x:c r="E10" s="69" t="str">
        <x:v>增长率</x:v>
      </x:c>
    </x:row>
    <x:row r="11">
      <x:c r="A11" s="69" t="str">
        <x:v>权重</x:v>
      </x:c>
      <x:c r="B11" s="69" t="str">
        <x:v>POPULATION</x:v>
      </x:c>
      <x:c r="C11" s="69" t="str">
        <x:v>人口与民生类行政分配</x:v>
      </x:c>
      <x:c r="D11" s="69" t="str">
        <x:v>按对应人口或人口栅格权重</x:v>
      </x:c>
      <x:c r="E11" s="69" t="str">
        <x:v>—</x:v>
      </x:c>
    </x:row>
    <x:row r="12">
      <x:c r="A12" s="69" t="str">
        <x:v>权重</x:v>
      </x:c>
      <x:c r="B12" s="69" t="str">
        <x:v>NTL_EMPLOYMENT</x:v>
      </x:c>
      <x:c r="C12" s="69" t="str">
        <x:v>经济活动类行政分配</x:v>
      </x:c>
      <x:c r="D12" s="69" t="str">
        <x:v>按夜光、就业或经济网格权重</x:v>
      </x:c>
      <x:c r="E12" s="69" t="str">
        <x:v>—</x:v>
      </x:c>
    </x:row>
    <x:row r="13">
      <x:c r="A13" s="69" t="str">
        <x:v>权重</x:v>
      </x:c>
      <x:c r="B13" s="69" t="str">
        <x:v>DIRECT_CLIP</x:v>
      </x:c>
      <x:c r="C13" s="69" t="str">
        <x:v>空间连续数据</x:v>
      </x:c>
      <x:c r="D13" s="69" t="str">
        <x:v>直接按目标几何裁剪</x:v>
      </x:c>
      <x:c r="E13" s="69" t="str">
        <x:v>—</x:v>
      </x:c>
    </x:row>
    <x:row r="14" ht="30" customHeight="1">
      <x:c r="A14" s="111" t="str">
        <x:v>算子</x:v>
      </x:c>
      <x:c r="B14" s="111" t="str">
        <x:v>SUM_WITH_PARALLEL_SHARE</x:v>
      </x:c>
      <x:c r="C14" s="111" t="str">
        <x:v>面积总量与覆盖率均正式保存</x:v>
      </x:c>
      <x:c r="D14" s="111" t="str">
        <x:v>先求面积总量，再用统一分母重算比例</x:v>
      </x:c>
      <x:c r="E14" s="111" t="str">
        <x:v>面积 + 覆盖率</x:v>
      </x:c>
    </x:row>
    <x:row r="15" ht="30" customHeight="1">
      <x:c r="A15" s="111" t="str">
        <x:v>算子</x:v>
      </x:c>
      <x:c r="B15" s="111" t="str">
        <x:v>SUM_WITH_PARALLEL_MEAN</x:v>
      </x:c>
      <x:c r="C15" s="111" t="str">
        <x:v>面积总量与强度均值均正式保存</x:v>
      </x:c>
      <x:c r="D15" s="111" t="str">
        <x:v>面积求和；NDVI按有效像元面积加权均值</x:v>
      </x:c>
      <x:c r="E15" s="111" t="str">
        <x:v>面积 + 强度均值</x:v>
      </x:c>
    </x:row>
  </x:sheetData>
  <x:pageMargins left="0.7" right="0.7" top="0.75" bottom="0.75" header="0.3" footer="0.3"/>
  <x:tableParts count="1">
    <x:tablePart xmlns:r="http://schemas.openxmlformats.org/officeDocument/2006/relationships" r:id="R48b3bd51e2a240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56" hidden="0" customWidth="1"/>
    <x:col min="5" max="5" width="56" hidden="0" customWidth="1"/>
    <x:col min="6" max="6" width="22" hidden="0" customWidth="1"/>
  </x:cols>
  <x:sheetData>
    <x:row r="1">
      <x:c r="A1" s="75" t="str">
        <x:v>版本</x:v>
      </x:c>
      <x:c r="B1" s="75" t="str">
        <x:v>日期</x:v>
      </x:c>
      <x:c r="C1" s="75" t="str">
        <x:v>变更类型</x:v>
      </x:c>
      <x:c r="D1" s="75" t="str">
        <x:v>变更内容</x:v>
      </x:c>
      <x:c r="E1" s="75" t="str">
        <x:v>依据</x:v>
      </x:c>
      <x:c r="F1" s="75" t="str">
        <x:v>状态</x:v>
      </x:c>
    </x:row>
    <x:row r="2">
      <x:c r="A2" s="69" t="str">
        <x:v>GCI-IND-v1</x:v>
      </x:c>
      <x:c r="B2" s="69" t="str">
        <x:v>2026-04-23</x:v>
      </x:c>
      <x:c r="C2" s="69" t="str">
        <x:v>BASELINE</x:v>
      </x:c>
      <x:c r="D2" s="69" t="str">
        <x:v>原始5个一级指标、13个二级指标和85个三级指标框架</x:v>
      </x:c>
      <x:c r="E2" s="69" t="str">
        <x:v>汇报/index.xlsx</x:v>
      </x:c>
      <x:c r="F2" s="69" t="str">
        <x:v>历史版本</x:v>
      </x:c>
    </x:row>
    <x:row r="3">
      <x:c r="A3" s="69" t="str">
        <x:v>GCI-IND-v2.0</x:v>
      </x:c>
      <x:c r="B3" s="69" t="str">
        <x:v>2026-08-27</x:v>
      </x:c>
      <x:c r="C3" s="69" t="str">
        <x:v>BOUNDARY_SCHEMA</x:v>
      </x:c>
      <x:c r="D3" s="69" t="str">
        <x:v>新增源数据形态、输入/输出边界、输出数据集、汇总算子、公式与双边界规则；取消HYBRID边界类别</x:v>
      </x:c>
      <x:c r="E3" s="69" t="str">
        <x:v>用户确认的边界继承规则</x:v>
      </x:c>
      <x:c r="F3" s="69" t="str">
        <x:v>当前版本</x:v>
      </x:c>
    </x:row>
    <x:row r="4">
      <x:c r="A4" s="85" t="str">
        <x:v>GCI-IND-v2.1-GEE-B01</x:v>
      </x:c>
      <x:c r="B4" s="85" t="str">
        <x:v>2026-08-27</x:v>
      </x:c>
      <x:c r="C4" s="85" t="str">
        <x:v>GEE_BATCH_SPEC</x:v>
      </x:c>
      <x:c r="D4" s="85" t="str">
        <x:v>新增GEE首批6项物理边界指标、时间口径与数据版本；生产项目切换为ee-yufeihuang478，冻结边界入库任务已提交。</x:v>
      </x:c>
      <x:c r="E4" s="85" t="str">
        <x:v>GEE官方数据目录与冻结城市边界GC100-20260827-V1.0.0</x:v>
      </x:c>
      <x:c r="F4" s="85" t="str">
        <x:v>待运行确认</x:v>
      </x:c>
    </x:row>
    <x:row r="5" ht="44" customHeight="1">
      <x:c r="A5" s="93" t="str">
        <x:v>GCI-IND-v2.2-GEE-B05</x:v>
      </x:c>
      <x:c r="B5" s="93" t="str">
        <x:v>2026-08-27</x:v>
      </x:c>
      <x:c r="C5" s="93" t="str">
        <x:v>METHOD_LOCK</x:v>
      </x:c>
      <x:c r="D5" s="93" t="str">
        <x:v>锁定蓝绿空间面积、覆盖率、NDVI与人口加权NDVI；更新城市边界至v1.0.1和2,311城市</x:v>
      </x:c>
      <x:c r="E5" s="93" t="str">
        <x:v>GEE B04/B05任务规范与用户确认</x:v>
      </x:c>
      <x:c r="F5" s="93" t="str">
        <x:v>生产任务终态后补充验收结果</x:v>
      </x:c>
    </x:row>
    <x:row r="6" ht="44" customHeight="1">
      <x:c r="A6" s="111" t="str">
        <x:v>GCI-IND-v2.3-GEE-B05</x:v>
      </x:c>
      <x:c r="B6" s="111" t="str">
        <x:v>2026-08-27</x:v>
      </x:c>
      <x:c r="C6" s="111" t="str">
        <x:v>ALL_METRICS</x:v>
      </x:c>
      <x:c r="D6" s="111" t="str">
        <x:v>可获得且通过质量控制的面积、覆盖率、NDVI、变化量与人口暴露全部作为正式指标入库；取消辅助字段分级</x:v>
      </x:c>
      <x:c r="E6" s="111" t="str">
        <x:v>用户确认：先尽量完整统计，指数筛选与权重后置</x:v>
      </x:c>
      <x:c r="F6" s="111" t="str">
        <x:v>生产任务终态后补充验收结果</x:v>
      </x:c>
    </x:row>
  </x:sheetData>
  <x:pageMargins left="0.7" right="0.7" top="0.75" bottom="0.75" header="0.3" footer="0.3"/>
  <x:tableParts count="1">
    <x:tablePart xmlns:r="http://schemas.openxmlformats.org/officeDocument/2006/relationships" r:id="R8223751171ab4b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" hidden="0" customWidth="1"/>
    <x:col min="3" max="3" width="22" hidden="0" customWidth="1"/>
    <x:col min="4" max="4" width="12" hidden="0" customWidth="1"/>
    <x:col min="5" max="5" width="30" hidden="0" customWidth="1"/>
    <x:col min="6" max="6" width="48" hidden="0" customWidth="1"/>
    <x:col min="7" max="7" width="30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48" hidden="0" customWidth="1"/>
    <x:col min="14" max="14" width="34" hidden="0" customWidth="1"/>
    <x:col min="15" max="15" width="34" hidden="0" customWidth="1"/>
    <x:col min="16" max="16" width="44" hidden="0" customWidth="1"/>
    <x:col min="17" max="17" width="54" hidden="0" customWidth="1"/>
  </x:cols>
  <x:sheetData>
    <x:row r="1" ht="36" customHeight="1">
      <x:c r="A1" s="79" t="str">
        <x:v>批次任务ID</x:v>
      </x:c>
      <x:c r="B1" s="79" t="str">
        <x:v>指标ID</x:v>
      </x:c>
      <x:c r="C1" s="79" t="str">
        <x:v>指标名称</x:v>
      </x:c>
      <x:c r="D1" s="79" t="str">
        <x:v>边界</x:v>
      </x:c>
      <x:c r="E1" s="79" t="str">
        <x:v>拟输出字段</x:v>
      </x:c>
      <x:c r="F1" s="79" t="str">
        <x:v>GEE数据集／资产ID</x:v>
      </x:c>
      <x:c r="G1" s="79" t="str">
        <x:v>波段</x:v>
      </x:c>
      <x:c r="H1" s="79" t="str">
        <x:v>观测年份／期间</x:v>
      </x:c>
      <x:c r="I1" s="79" t="str">
        <x:v>是否预测</x:v>
      </x:c>
      <x:c r="J1" s="79" t="str">
        <x:v>原生分辨率</x:v>
      </x:c>
      <x:c r="K1" s="79" t="str">
        <x:v>建议统计尺度</x:v>
      </x:c>
      <x:c r="L1" s="79" t="str">
        <x:v>汇总算子</x:v>
      </x:c>
      <x:c r="M1" s="79" t="str">
        <x:v>计算公式</x:v>
      </x:c>
      <x:c r="N1" s="79" t="str">
        <x:v>质量控制字段</x:v>
      </x:c>
      <x:c r="O1" s="79" t="str">
        <x:v>当前状态</x:v>
      </x:c>
      <x:c r="P1" s="79" t="str">
        <x:v>运行前待确认</x:v>
      </x:c>
      <x:c r="Q1" s="79" t="str">
        <x:v>官方数据页</x:v>
      </x:c>
    </x:row>
    <x:row r="2" ht="72" customHeight="1">
      <x:c r="A2" s="69" t="str">
        <x:v>B01_01_BUILT_AREA</x:v>
      </x:c>
      <x:c r="B2" s="69" t="n">
        <x:v>1</x:v>
      </x:c>
      <x:c r="C2" s="69" t="str">
        <x:v>建成区面积</x:v>
      </x:c>
      <x:c r="D2" s="81" t="str">
        <x:v>PHYSICAL</x:v>
      </x:c>
      <x:c r="E2" s="69" t="str">
        <x:v>built_area_km2_PHY</x:v>
      </x:c>
      <x:c r="F2" s="69" t="str">
        <x:v>JRC/GHSL/P2023A/GHS_BUILT_S/2020</x:v>
      </x:c>
      <x:c r="G2" s="69" t="str">
        <x:v>built_surface</x:v>
      </x:c>
      <x:c r="H2" s="69" t="str">
        <x:v>2020</x:v>
      </x:c>
      <x:c r="I2" s="69" t="str">
        <x:v>否</x:v>
      </x:c>
      <x:c r="J2" s="69" t="str">
        <x:v>100 m</x:v>
      </x:c>
      <x:c r="K2" s="69" t="str">
        <x:v>100 m</x:v>
      </x:c>
      <x:c r="L2" s="69" t="str">
        <x:v>SUM</x:v>
      </x:c>
      <x:c r="M2" s="69" t="str">
        <x:v>Σ(built_surface_m2)/1,000,000</x:v>
      </x:c>
      <x:c r="N2" s="69" t="str">
        <x:v>valid_pixel_count; boundary_area_km2</x:v>
      </x:c>
      <x:c r="O2" s="69" t="str">
        <x:v>READY_AFTER_FINAL_BOUNDARY_UPLOAD</x:v>
      </x:c>
      <x:c r="P2" s="69" t="str">
        <x:v>确认最终边界资产路径</x:v>
      </x:c>
      <x:c r="Q2" s="69" t="str">
        <x:v>https://developers.google.com/earth-engine/datasets/catalog/JRC_GHSL_P2023A_GHS_BUILT_S</x:v>
      </x:c>
    </x:row>
    <x:row r="3" ht="72" customHeight="1">
      <x:c r="A3" s="69" t="str">
        <x:v>B01_02_BUILD_HEIGHT</x:v>
      </x:c>
      <x:c r="B3" s="69" t="n">
        <x:v>2</x:v>
      </x:c>
      <x:c r="C3" s="69" t="str">
        <x:v>建筑高度</x:v>
      </x:c>
      <x:c r="D3" s="81" t="str">
        <x:v>PHYSICAL</x:v>
      </x:c>
      <x:c r="E3" s="69" t="str">
        <x:v>built_height_m_PHY</x:v>
      </x:c>
      <x:c r="F3" s="69" t="str">
        <x:v>JRC/GHSL/P2023A/GHS_BUILT_H/2018 + JRC/GHSL/P2023A/GHS_BUILT_S_10m/2018</x:v>
      </x:c>
      <x:c r="G3" s="69" t="str">
        <x:v>built_height; built_surface</x:v>
      </x:c>
      <x:c r="H3" s="69" t="str">
        <x:v>2018</x:v>
      </x:c>
      <x:c r="I3" s="69" t="str">
        <x:v>否</x:v>
      </x:c>
      <x:c r="J3" s="69" t="str">
        <x:v>100 m／10 m</x:v>
      </x:c>
      <x:c r="K3" s="69" t="str">
        <x:v>100 m</x:v>
      </x:c>
      <x:c r="L3" s="69" t="str">
        <x:v>BUILT_SURFACE_WEIGHTED_MEAN</x:v>
      </x:c>
      <x:c r="M3" s="69" t="str">
        <x:v>Σ(height×built_surface)/Σ(built_surface)</x:v>
      </x:c>
      <x:c r="N3" s="69" t="str">
        <x:v>built_surface_sum; height_valid_share</x:v>
      </x:c>
      <x:c r="O3" s="69" t="str">
        <x:v>READY_AFTER_FINAL_BOUNDARY_UPLOAD</x:v>
      </x:c>
      <x:c r="P3" s="69" t="str">
        <x:v>API核实10 m建成面资产与投影</x:v>
      </x:c>
      <x:c r="Q3" s="69" t="str">
        <x:v>https://developers.google.com/earth-engine/datasets/catalog/JRC_GHSL_P2023A_GHS_BUILT_H</x:v>
      </x:c>
    </x:row>
    <x:row r="4" ht="72" customHeight="1">
      <x:c r="A4" s="69" t="str">
        <x:v>B01_03_BUILD_DENSITY</x:v>
      </x:c>
      <x:c r="B4" s="69" t="n">
        <x:v>3</x:v>
      </x:c>
      <x:c r="C4" s="69" t="str">
        <x:v>建筑密度</x:v>
      </x:c>
      <x:c r="D4" s="81" t="str">
        <x:v>PHYSICAL</x:v>
      </x:c>
      <x:c r="E4" s="69" t="str">
        <x:v>built_density_pct_PHY</x:v>
      </x:c>
      <x:c r="F4" s="69" t="str">
        <x:v>JRC/GHSL/P2023A/GHS_BUILT_S/2020</x:v>
      </x:c>
      <x:c r="G4" s="69" t="str">
        <x:v>built_surface</x:v>
      </x:c>
      <x:c r="H4" s="69" t="str">
        <x:v>2020</x:v>
      </x:c>
      <x:c r="I4" s="69" t="str">
        <x:v>否</x:v>
      </x:c>
      <x:c r="J4" s="69" t="str">
        <x:v>100 m</x:v>
      </x:c>
      <x:c r="K4" s="69" t="str">
        <x:v>100 m</x:v>
      </x:c>
      <x:c r="L4" s="69" t="str">
        <x:v>RATIO_RECALC</x:v>
      </x:c>
      <x:c r="M4" s="69" t="str">
        <x:v>Σ(built_surface_m2)/boundary_area_m2×100</x:v>
      </x:c>
      <x:c r="N4" s="69" t="str">
        <x:v>boundary_area_km2; permanent_water_share</x:v>
      </x:c>
      <x:c r="O4" s="69" t="str">
        <x:v>READY_WITH_DENOMINATOR_NOTE</x:v>
      </x:c>
      <x:c r="P4" s="69" t="str">
        <x:v>首轮以边界总面积作分母；另存永久水体占比</x:v>
      </x:c>
      <x:c r="Q4" s="69" t="str">
        <x:v>https://developers.google.com/earth-engine/datasets/catalog/JRC_GHSL_P2023A_GHS_BUILT_S</x:v>
      </x:c>
    </x:row>
    <x:row r="5" ht="72" customHeight="1">
      <x:c r="A5" s="69" t="str">
        <x:v>B01_04_BUILD_VOLUME</x:v>
      </x:c>
      <x:c r="B5" s="69" t="n">
        <x:v>4</x:v>
      </x:c>
      <x:c r="C5" s="69" t="str">
        <x:v>建筑体积</x:v>
      </x:c>
      <x:c r="D5" s="81" t="str">
        <x:v>PHYSICAL</x:v>
      </x:c>
      <x:c r="E5" s="69" t="str">
        <x:v>built_volume_m3_PHY</x:v>
      </x:c>
      <x:c r="F5" s="69" t="str">
        <x:v>JRC/GHSL/P2023A/GHS_BUILT_V/2020</x:v>
      </x:c>
      <x:c r="G5" s="69" t="str">
        <x:v>built_volume_total</x:v>
      </x:c>
      <x:c r="H5" s="69" t="str">
        <x:v>2020</x:v>
      </x:c>
      <x:c r="I5" s="69" t="str">
        <x:v>否</x:v>
      </x:c>
      <x:c r="J5" s="69" t="str">
        <x:v>100 m</x:v>
      </x:c>
      <x:c r="K5" s="69" t="str">
        <x:v>100 m</x:v>
      </x:c>
      <x:c r="L5" s="69" t="str">
        <x:v>SUM</x:v>
      </x:c>
      <x:c r="M5" s="69" t="str">
        <x:v>Σ(built_volume_total)</x:v>
      </x:c>
      <x:c r="N5" s="69" t="str">
        <x:v>valid_pixel_count; built_volume_nres_m3</x:v>
      </x:c>
      <x:c r="O5" s="69" t="str">
        <x:v>READY_AFTER_FINAL_BOUNDARY_UPLOAD</x:v>
      </x:c>
      <x:c r="P5" s="69" t="str">
        <x:v>确认是否同时保留非住宅体积</x:v>
      </x:c>
      <x:c r="Q5" s="69" t="str">
        <x:v>https://developers.google.com/earth-engine/datasets/catalog/JRC_GHSL_P2023A_GHS_BUILT_V</x:v>
      </x:c>
    </x:row>
    <x:row r="6" ht="72" customHeight="1">
      <x:c r="A6" s="69" t="str">
        <x:v>B01_05_NTL_MEAN</x:v>
      </x:c>
      <x:c r="B6" s="69" t="n">
        <x:v>6</x:v>
      </x:c>
      <x:c r="C6" s="69" t="str">
        <x:v>夜光强度均值</x:v>
      </x:c>
      <x:c r="D6" s="81" t="str">
        <x:v>PHYSICAL</x:v>
      </x:c>
      <x:c r="E6" s="69" t="str">
        <x:v>ntl_mean_2025_PHY</x:v>
      </x:c>
      <x:c r="F6" s="69" t="str">
        <x:v>NOAA/VIIRS/DNB/ANNUAL_V22</x:v>
      </x:c>
      <x:c r="G6" s="69" t="str">
        <x:v>average_masked; cf_cvg</x:v>
      </x:c>
      <x:c r="H6" s="69" t="str">
        <x:v>2025</x:v>
      </x:c>
      <x:c r="I6" s="69" t="str">
        <x:v>否</x:v>
      </x:c>
      <x:c r="J6" s="69" t="str">
        <x:v>463.83 m</x:v>
      </x:c>
      <x:c r="K6" s="69" t="str">
        <x:v>500 m</x:v>
      </x:c>
      <x:c r="L6" s="69" t="str">
        <x:v>AREA_WEIGHTED_MEAN</x:v>
      </x:c>
      <x:c r="M6" s="69" t="str">
        <x:v>Σ(radiance×pixel_area)/Σ(valid_pixel_area)</x:v>
      </x:c>
      <x:c r="N6" s="69" t="str">
        <x:v>cf_cvg_mean; valid_area_share; p95</x:v>
      </x:c>
      <x:c r="O6" s="69" t="str">
        <x:v>API_VERIFIED</x:v>
      </x:c>
      <x:c r="P6" s="69" t="str">
        <x:v>Python API已确认2025影像与所需波段</x:v>
      </x:c>
      <x:c r="Q6" s="69" t="str">
        <x:v>https://developers.google.com/earth-engine/datasets/catalog/NOAA_VIIRS_DNB_ANNUAL_V22</x:v>
      </x:c>
    </x:row>
    <x:row r="7" ht="72" customHeight="1">
      <x:c r="A7" s="69" t="str">
        <x:v>B01_06_NTL_GROWTH</x:v>
      </x:c>
      <x:c r="B7" s="69" t="n">
        <x:v>7</x:v>
      </x:c>
      <x:c r="C7" s="69" t="str">
        <x:v>夜光强度增长率</x:v>
      </x:c>
      <x:c r="D7" s="81" t="str">
        <x:v>PHYSICAL</x:v>
      </x:c>
      <x:c r="E7" s="69" t="str">
        <x:v>ntl_growth_total_2022_2025_PHY; ntl_cagr_2022_2025_PHY</x:v>
      </x:c>
      <x:c r="F7" s="69" t="str">
        <x:v>NOAA/VIIRS/DNB/ANNUAL_V22</x:v>
      </x:c>
      <x:c r="G7" s="69" t="str">
        <x:v>average_masked; cf_cvg</x:v>
      </x:c>
      <x:c r="H7" s="69" t="str">
        <x:v>2022–2025</x:v>
      </x:c>
      <x:c r="I7" s="69" t="str">
        <x:v>否</x:v>
      </x:c>
      <x:c r="J7" s="69" t="str">
        <x:v>463.83 m</x:v>
      </x:c>
      <x:c r="K7" s="69" t="str">
        <x:v>500 m</x:v>
      </x:c>
      <x:c r="L7" s="69" t="str">
        <x:v>GROWTH_RECALC</x:v>
      </x:c>
      <x:c r="M7" s="69" t="str">
        <x:v>总增长=(V2025−V2022)/V2022；CAGR=(V2025/V2022)^(1/3)−1</x:v>
      </x:c>
      <x:c r="N7" s="69" t="str">
        <x:v>baseline_positive_flag; cf_cvg_both</x:v>
      </x:c>
      <x:c r="O7" s="69" t="str">
        <x:v>API_VERIFIED</x:v>
      </x:c>
      <x:c r="P7" s="69" t="str">
        <x:v>采用同一V22版本的完整三年窗口，避免跨V21/V22版本桥接</x:v>
      </x:c>
      <x:c r="Q7" s="69" t="str">
        <x:v>https://developers.google.com/earth-engine/datasets/catalog/NOAA_VIIRS_DNB_ANNUAL_V22</x:v>
      </x:c>
    </x:row>
  </x:sheetData>
  <x:conditionalFormatting sqref="O2:O7">
    <x:cfRule type="containsText" dxfId="4" priority="1" operator="containsText" text="READY"/>
    <x:cfRule type="containsText" dxfId="5" priority="2" operator="containsText" text="REQUIRED"/>
  </x:conditionalFormatting>
  <x:pageMargins left="0.7" right="0.7" top="0.75" bottom="0.75" header="0.3" footer="0.3"/>
  <x:tableParts count="1">
    <x:tablePart xmlns:r="http://schemas.openxmlformats.org/officeDocument/2006/relationships" r:id="R6fec05faaa8d4e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62" hidden="0" customWidth="1"/>
    <x:col min="4" max="4" width="32" hidden="0" customWidth="1"/>
    <x:col min="5" max="5" width="36" hidden="0" customWidth="1"/>
  </x:cols>
  <x:sheetData>
    <x:row r="1" ht="36" customHeight="1">
      <x:c r="A1" s="79" t="str">
        <x:v>规则代码</x:v>
      </x:c>
      <x:c r="B1" s="79" t="str">
        <x:v>规则名称</x:v>
      </x:c>
      <x:c r="C1" s="79" t="str">
        <x:v>正式定义</x:v>
      </x:c>
      <x:c r="D1" s="79" t="str">
        <x:v>本批应用</x:v>
      </x:c>
      <x:c r="E1" s="79" t="str">
        <x:v>备注</x:v>
      </x:c>
    </x:row>
    <x:row r="2" ht="54" customHeight="1">
      <x:c r="A2" s="81" t="str">
        <x:v>LATEST_COMPLETE_OBS</x:v>
      </x:c>
      <x:c r="B2" s="69" t="str">
        <x:v>最新完整观测期</x:v>
      </x:c>
      <x:c r="C2" s="69" t="str">
        <x:v>采用全球覆盖完整且已经正式发布的最新观测年；不采用未完成的当年数据。</x:v>
      </x:c>
      <x:c r="D2" s="69" t="str">
        <x:v>VIIRS采用2025</x:v>
      </x:c>
      <x:c r="E2" s="69" t="str">
        <x:v>每年更新时允许滚动</x:v>
      </x:c>
    </x:row>
    <x:row r="3" ht="54" customHeight="1">
      <x:c r="A3" s="81" t="str">
        <x:v>NO_PROJECTION_DEFAULT</x:v>
      </x:c>
      <x:c r="B3" s="69" t="str">
        <x:v>预测值默认禁用</x:v>
      </x:c>
      <x:c r="C3" s="69" t="str">
        <x:v>主指数默认不使用预测或外推年份；若使用必须另设预测标记。</x:v>
      </x:c>
      <x:c r="D3" s="69" t="str">
        <x:v>GHSL不用2025/2030预测</x:v>
      </x:c>
      <x:c r="E3" s="69" t="str">
        <x:v>2020为最近观测期</x:v>
      </x:c>
    </x:row>
    <x:row r="4" ht="54" customHeight="1">
      <x:c r="A4" s="81" t="str">
        <x:v>PRODUCT_REFERENCE_YEAR</x:v>
      </x:c>
      <x:c r="B4" s="69" t="str">
        <x:v>产品参考年优先</x:v>
      </x:c>
      <x:c r="C4" s="69" t="str">
        <x:v>静态或结构性产品保留其真实参考年，不伪装成指数发布年。</x:v>
      </x:c>
      <x:c r="D4" s="69" t="str">
        <x:v>建筑高度2018</x:v>
      </x:c>
      <x:c r="E4" s="69" t="str">
        <x:v>DEM等同理</x:v>
      </x:c>
    </x:row>
    <x:row r="5" ht="54" customHeight="1">
      <x:c r="A5" s="81" t="str">
        <x:v>FIXED_WINDOW_GROWTH</x:v>
      </x:c>
      <x:c r="B5" s="69" t="str">
        <x:v>增长率固定时间窗</x:v>
      </x:c>
      <x:c r="C5" s="69" t="str">
        <x:v>增长指标同时保存起止年、总增长和年均复合增长率。</x:v>
      </x:c>
      <x:c r="D5" s="69" t="str">
        <x:v>夜光2022–2025</x:v>
      </x:c>
      <x:c r="E5" s="69" t="str">
        <x:v>同一V22版本，避免版本桥接偏差</x:v>
      </x:c>
    </x:row>
    <x:row r="6" ht="54" customHeight="1">
      <x:c r="A6" s="81" t="str">
        <x:v>OBS_YEAR_FIELD</x:v>
      </x:c>
      <x:c r="B6" s="69" t="str">
        <x:v>逐值记录观测期</x:v>
      </x:c>
      <x:c r="C6" s="69" t="str">
        <x:v>每个结果必须携带DATA_YEAR_START、DATA_YEAR_END、DATASET_VERSION和ACCESS_DATE。</x:v>
      </x:c>
      <x:c r="D6" s="69" t="str">
        <x:v>全部6项</x:v>
      </x:c>
      <x:c r="E6" s="69" t="str">
        <x:v>不能只在说明文档中写年份</x:v>
      </x:c>
    </x:row>
    <x:row r="7" ht="54" customHeight="1">
      <x:c r="A7" s="81" t="str">
        <x:v>INDEX_EDITION_SEPARATE</x:v>
      </x:c>
      <x:c r="B7" s="69" t="str">
        <x:v>指数年份与数据年份分离</x:v>
      </x:c>
      <x:c r="C7" s="69" t="str">
        <x:v>INDEX_EDITION_YEAR仅表示发布批次，不等同于观测年份。</x:v>
      </x:c>
      <x:c r="D7" s="69" t="str">
        <x:v>指数版次2026</x:v>
      </x:c>
      <x:c r="E7" s="69" t="str">
        <x:v>避免把2018高度误写成2026</x:v>
      </x:c>
    </x:row>
    <x:row r="8" ht="54" customHeight="1">
      <x:c r="A8" s="81" t="str">
        <x:v>TEMPORAL_LAG_FLAG</x:v>
      </x:c>
      <x:c r="B8" s="69" t="str">
        <x:v>时间滞后标记</x:v>
      </x:c>
      <x:c r="C8" s="69" t="str">
        <x:v>结果保存LAG_YEARS=INDEX_EDITION_YEAR−DATA_YEAR_END，并在标准化前审查。</x:v>
      </x:c>
      <x:c r="D8" s="69" t="str">
        <x:v>全部6项</x:v>
      </x:c>
      <x:c r="E8" s="69" t="str">
        <x:v>建议滞后&gt;5年标黄</x:v>
      </x:c>
    </x:row>
  </x:sheetData>
  <x:pageMargins left="0.7" right="0.7" top="0.75" bottom="0.75" header="0.3" footer="0.3"/>
  <x:tableParts count="1">
    <x:tablePart xmlns:r="http://schemas.openxmlformats.org/officeDocument/2006/relationships" r:id="Rfe29cac7f6484c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30" hidden="0" customWidth="1"/>
    <x:col min="4" max="4" width="66" hidden="0" customWidth="1"/>
  </x:cols>
  <x:sheetData>
    <x:row r="1" ht="36" customHeight="1">
      <x:c r="A1" s="79" t="str">
        <x:v>配置项</x:v>
      </x:c>
      <x:c r="B1" s="79" t="str">
        <x:v>当前值／建议值</x:v>
      </x:c>
      <x:c r="C1" s="79" t="str">
        <x:v>状态</x:v>
      </x:c>
      <x:c r="D1" s="79" t="str">
        <x:v>说明</x:v>
      </x:c>
    </x:row>
    <x:row r="2" ht="54" customHeight="1">
      <x:c r="A2" s="81" t="str">
        <x:v>研究任务</x:v>
      </x:c>
      <x:c r="B2" s="69" t="str">
        <x:v>Global City Index — GEE Batch 01–05</x:v>
      </x:c>
      <x:c r="C2" s="69" t="str">
        <x:v>生产运行中</x:v>
      </x:c>
      <x:c r="D2" s="69" t="str">
        <x:v>并行统计建成环境、人口、气候地形、蓝绿空间面积与NDVI</x:v>
      </x:c>
    </x:row>
    <x:row r="3" ht="54" customHeight="1">
      <x:c r="A3" s="81" t="str">
        <x:v>GEE账号</x:v>
      </x:c>
      <x:c r="B3" s="69" t="str">
        <x:v>yufeihuang478@gmail.com</x:v>
      </x:c>
      <x:c r="C3" s="69" t="str">
        <x:v>已确认</x:v>
      </x:c>
      <x:c r="D3" s="69" t="str">
        <x:v>非商业贡献者层级；月度EECU当前使用0%</x:v>
      </x:c>
    </x:row>
    <x:row r="4" ht="54" customHeight="1">
      <x:c r="A4" s="81" t="str">
        <x:v>Cloud Project</x:v>
      </x:c>
      <x:c r="B4" s="69" t="str">
        <x:v>ee-yufeihuang478</x:v>
      </x:c>
      <x:c r="C4" s="69" t="str">
        <x:v>已确认</x:v>
      </x:c>
      <x:c r="D4" s="69" t="str">
        <x:v>Global City Index正式生产项目</x:v>
      </x:c>
    </x:row>
    <x:row r="5" ht="54" customHeight="1">
      <x:c r="A5" s="81" t="str">
        <x:v>冻结边界版本</x:v>
      </x:c>
      <x:c r="B5" s="69" t="str">
        <x:v>GC100-20260827-V1.0.1</x:v>
      </x:c>
      <x:c r="C5" s="69" t="str">
        <x:v>已确认并入库</x:v>
      </x:c>
      <x:c r="D5" s="69" t="str">
        <x:v>2,311个唯一城市；仅Macau与Lusail小于10 km²</x:v>
      </x:c>
    </x:row>
    <x:row r="6" ht="54" customHeight="1">
      <x:c r="A6" s="81" t="str">
        <x:v>本地权威图层</x:v>
      </x:c>
      <x:c r="B6" s="69" t="str">
        <x:v>Global_City_100km_Ultimate_v1_0_1.gpkg / city_100km_ultimate</x:v>
      </x:c>
      <x:c r="C6" s="69" t="str">
        <x:v>已确认</x:v>
      </x:c>
      <x:c r="D6" s="69" t="str">
        <x:v>2,311个唯一城市</x:v>
      </x:c>
    </x:row>
    <x:row r="7" ht="54" customHeight="1">
      <x:c r="A7" s="81" t="str">
        <x:v>连接主键</x:v>
      </x:c>
      <x:c r="B7" s="69" t="str">
        <x:v>CITY_ID</x:v>
      </x:c>
      <x:c r="C7" s="69" t="str">
        <x:v>已确认</x:v>
      </x:c>
      <x:c r="D7" s="69" t="str">
        <x:v>所有输出必须保留</x:v>
      </x:c>
    </x:row>
    <x:row r="8" ht="54" customHeight="1">
      <x:c r="A8" s="81" t="str">
        <x:v>旧项目状态</x:v>
      </x:c>
      <x:c r="B8" s="69" t="str">
        <x:v>ee-yufeih12</x:v>
      </x:c>
      <x:c r="C8" s="69" t="str">
        <x:v>停止新增生产任务</x:v>
      </x:c>
      <x:c r="D8" s="69" t="str">
        <x:v>旧项目受限且不再作为本批生产项目；既有资产不删除</x:v>
      </x:c>
    </x:row>
    <x:row r="9" ht="54" customHeight="1">
      <x:c r="A9" s="81" t="str">
        <x:v>最终边界资产</x:v>
      </x:c>
      <x:c r="B9" s="69" t="str">
        <x:v>projects/ee-yufeihuang478/assets/global_city_index/GC100_20260827_V1_0_1/city_100km_ultimate</x:v>
      </x:c>
      <x:c r="C9" s="69" t="str">
        <x:v>云端验证通过</x:v>
      </x:c>
      <x:c r="D9" s="69" t="str">
        <x:v>2,311行、CITY_ID唯一、面积阈值与几何检查通过</x:v>
      </x:c>
    </x:row>
    <x:row r="10" ht="54" customHeight="1">
      <x:c r="A10" s="81" t="str">
        <x:v>结果资产</x:v>
      </x:c>
      <x:c r="B10" s="69" t="str">
        <x:v>见 GEE任务状态_v2_3</x:v>
      </x:c>
      <x:c r="C10" s="69" t="str">
        <x:v>B01–B05运行/排队中</x:v>
      </x:c>
      <x:c r="D10" s="69" t="str">
        <x:v>结果表每个CITY_ID一行并保留中心点；计算范围仍为完整城市边界</x:v>
      </x:c>
    </x:row>
    <x:row r="11" ht="54" customHeight="1">
      <x:c r="A11" s="81" t="str">
        <x:v>建议Code Editor仓库</x:v>
      </x:c>
      <x:c r="B11" s="69" t="str">
        <x:v>GCI_Global_City_Index</x:v>
      </x:c>
      <x:c r="C11" s="69" t="str">
        <x:v>待用户确认</x:v>
      </x:c>
      <x:c r="D11" s="69" t="str">
        <x:v>任务完成后再同步复现脚本，RUN_EXPORT=false</x:v>
      </x:c>
    </x:row>
    <x:row r="12" ht="54" customHeight="1">
      <x:c r="A12" s="81" t="str">
        <x:v>行政边界状态</x:v>
      </x:c>
      <x:c r="B12" s="69" t="str">
        <x:v>行政边界关联已完成；本轮先完成物理边界指标</x:v>
      </x:c>
      <x:c r="C12" s="69" t="str">
        <x:v>行政结果待同法重跑</x:v>
      </x:c>
      <x:c r="D12" s="69" t="str">
        <x:v>行政几何上传后用同数据、同年和同算法输出*_ADM</x:v>
      </x:c>
    </x:row>
    <x:row r="13" ht="54" customHeight="1">
      <x:c r="A13" s="81" t="str">
        <x:v>Python API环境</x:v>
      </x:c>
      <x:c r="B13" s="69" t="str">
        <x:v>earthengine-api 1.7.41</x:v>
      </x:c>
      <x:c r="C13" s="69" t="str">
        <x:v>已安装并授权</x:v>
      </x:c>
      <x:c r="D13" s="69" t="str">
        <x:v>正式生产任务由Python API提交并记录任务ID</x:v>
      </x:c>
    </x:row>
    <x:row r="14" ht="54" customHeight="1">
      <x:c r="A14" s="81" t="str">
        <x:v>科学验收</x:v>
      </x:c>
      <x:c r="B14" s="69" t="str">
        <x:v>2,311行且CITY_ID唯一；空几何0；非面0；实质重叠0；&lt;10 km²仅Macau和Lusail</x:v>
      </x:c>
      <x:c r="C14" s="69" t="str">
        <x:v>边界验收PASS</x:v>
      </x:c>
      <x:c r="D14" s="69" t="str">
        <x:v>边界版本v1.0.1作为当前指标汇总唯一基准</x:v>
      </x:c>
    </x:row>
  </x:sheetData>
  <x:conditionalFormatting sqref="C2:C14">
    <x:cfRule type="containsText" dxfId="6" priority="1" operator="containsText" text="待"/>
    <x:cfRule type="containsText" dxfId="7" priority="2" operator="containsText" text="阻塞"/>
  </x:conditionalFormatting>
  <x:pageMargins left="0.7" right="0.7" top="0.75" bottom="0.75" header="0.3" footer="0.3"/>
  <x:tableParts count="1">
    <x:tablePart xmlns:r="http://schemas.openxmlformats.org/officeDocument/2006/relationships" r:id="Rbfb4a04f7fcc45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2" hidden="0" customWidth="1"/>
    <x:col min="4" max="4" width="34" hidden="0" customWidth="1"/>
    <x:col min="5" max="5" width="13" hidden="0" customWidth="1"/>
    <x:col min="6" max="6" width="13" hidden="0" customWidth="1"/>
    <x:col min="7" max="7" width="13" hidden="0" customWidth="1"/>
    <x:col min="8" max="8" width="3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34" hidden="0" customWidth="1"/>
    <x:col min="14" max="14" width="34" hidden="0" customWidth="1"/>
    <x:col min="15" max="15" width="15" hidden="0" customWidth="1"/>
    <x:col min="16" max="16" width="15" hidden="0" customWidth="1"/>
  </x:cols>
  <x:sheetData>
    <x:row r="1" ht="40" customHeight="1">
      <x:c r="A1" s="114" t="str">
        <x:v>Global City Index 蓝绿空间与 NDVI 字段级指标库（v2.3）</x:v>
      </x:c>
      <x:c r="B1" s="114" t="str">
        <x:v>Global City Index 蓝绿空间与 NDVI 字段级指标库（v2.3）</x:v>
      </x:c>
      <x:c r="C1" s="114" t="str">
        <x:v>Global City Index 蓝绿空间与 NDVI 字段级指标库（v2.3）</x:v>
      </x:c>
      <x:c r="D1" s="114" t="str">
        <x:v>Global City Index 蓝绿空间与 NDVI 字段级指标库（v2.3）</x:v>
      </x:c>
      <x:c r="E1" s="114" t="str">
        <x:v>Global City Index 蓝绿空间与 NDVI 字段级指标库（v2.3）</x:v>
      </x:c>
      <x:c r="F1" s="114" t="str">
        <x:v>Global City Index 蓝绿空间与 NDVI 字段级指标库（v2.3）</x:v>
      </x:c>
      <x:c r="G1" s="114" t="str">
        <x:v>Global City Index 蓝绿空间与 NDVI 字段级指标库（v2.3）</x:v>
      </x:c>
      <x:c r="H1" s="114" t="str">
        <x:v>Global City Index 蓝绿空间与 NDVI 字段级指标库（v2.3）</x:v>
      </x:c>
      <x:c r="I1" s="114" t="str">
        <x:v>Global City Index 蓝绿空间与 NDVI 字段级指标库（v2.3）</x:v>
      </x:c>
      <x:c r="J1" s="114" t="str">
        <x:v>Global City Index 蓝绿空间与 NDVI 字段级指标库（v2.3）</x:v>
      </x:c>
      <x:c r="K1" s="114" t="str">
        <x:v>Global City Index 蓝绿空间与 NDVI 字段级指标库（v2.3）</x:v>
      </x:c>
      <x:c r="L1" s="114" t="str">
        <x:v>Global City Index 蓝绿空间与 NDVI 字段级指标库（v2.3）</x:v>
      </x:c>
      <x:c r="M1" s="114" t="str">
        <x:v>Global City Index 蓝绿空间与 NDVI 字段级指标库（v2.3）</x:v>
      </x:c>
      <x:c r="N1" s="114" t="str">
        <x:v>Global City Index 蓝绿空间与 NDVI 字段级指标库（v2.3）</x:v>
      </x:c>
      <x:c r="O1" s="114" t="str">
        <x:v>Global City Index 蓝绿空间与 NDVI 字段级指标库（v2.3）</x:v>
      </x:c>
      <x:c r="P1" s="114" t="str">
        <x:v>Global City Index 蓝绿空间与 NDVI 字段级指标库（v2.3）</x:v>
      </x:c>
    </x:row>
    <x:row r="2" ht="34" customHeight="1">
      <x:c r="A2" s="117" t="str">
        <x:v>可获得且通过质量控制的面积、覆盖率、NDVI、变化量与人口暴露全部作为正式指标入库；原始统计尽量完整，指数筛选与权重另行版本化。</x:v>
      </x:c>
      <x:c r="B2" s="117" t="str">
        <x:v>可获得且通过质量控制的面积、覆盖率、NDVI、变化量与人口暴露全部作为正式指标入库；原始统计尽量完整，指数筛选与权重另行版本化。</x:v>
      </x:c>
      <x:c r="C2" s="117" t="str">
        <x:v>可获得且通过质量控制的面积、覆盖率、NDVI、变化量与人口暴露全部作为正式指标入库；原始统计尽量完整，指数筛选与权重另行版本化。</x:v>
      </x:c>
      <x:c r="D2" s="117" t="str">
        <x:v>可获得且通过质量控制的面积、覆盖率、NDVI、变化量与人口暴露全部作为正式指标入库；原始统计尽量完整，指数筛选与权重另行版本化。</x:v>
      </x:c>
      <x:c r="E2" s="117" t="str">
        <x:v>可获得且通过质量控制的面积、覆盖率、NDVI、变化量与人口暴露全部作为正式指标入库；原始统计尽量完整，指数筛选与权重另行版本化。</x:v>
      </x:c>
      <x:c r="F2" s="117" t="str">
        <x:v>可获得且通过质量控制的面积、覆盖率、NDVI、变化量与人口暴露全部作为正式指标入库；原始统计尽量完整，指数筛选与权重另行版本化。</x:v>
      </x:c>
      <x:c r="G2" s="117" t="str">
        <x:v>可获得且通过质量控制的面积、覆盖率、NDVI、变化量与人口暴露全部作为正式指标入库；原始统计尽量完整，指数筛选与权重另行版本化。</x:v>
      </x:c>
      <x:c r="H2" s="117" t="str">
        <x:v>可获得且通过质量控制的面积、覆盖率、NDVI、变化量与人口暴露全部作为正式指标入库；原始统计尽量完整，指数筛选与权重另行版本化。</x:v>
      </x:c>
      <x:c r="I2" s="117" t="str">
        <x:v>可获得且通过质量控制的面积、覆盖率、NDVI、变化量与人口暴露全部作为正式指标入库；原始统计尽量完整，指数筛选与权重另行版本化。</x:v>
      </x:c>
      <x:c r="J2" s="117" t="str">
        <x:v>可获得且通过质量控制的面积、覆盖率、NDVI、变化量与人口暴露全部作为正式指标入库；原始统计尽量完整，指数筛选与权重另行版本化。</x:v>
      </x:c>
      <x:c r="K2" s="117" t="str">
        <x:v>可获得且通过质量控制的面积、覆盖率、NDVI、变化量与人口暴露全部作为正式指标入库；原始统计尽量完整，指数筛选与权重另行版本化。</x:v>
      </x:c>
      <x:c r="L2" s="117" t="str">
        <x:v>可获得且通过质量控制的面积、覆盖率、NDVI、变化量与人口暴露全部作为正式指标入库；原始统计尽量完整，指数筛选与权重另行版本化。</x:v>
      </x:c>
      <x:c r="M2" s="117" t="str">
        <x:v>可获得且通过质量控制的面积、覆盖率、NDVI、变化量与人口暴露全部作为正式指标入库；原始统计尽量完整，指数筛选与权重另行版本化。</x:v>
      </x:c>
      <x:c r="N2" s="117" t="str">
        <x:v>可获得且通过质量控制的面积、覆盖率、NDVI、变化量与人口暴露全部作为正式指标入库；原始统计尽量完整，指数筛选与权重另行版本化。</x:v>
      </x:c>
      <x:c r="O2" s="117" t="str">
        <x:v>可获得且通过质量控制的面积、覆盖率、NDVI、变化量与人口暴露全部作为正式指标入库；原始统计尽量完整，指数筛选与权重另行版本化。</x:v>
      </x:c>
      <x:c r="P2" s="117" t="str">
        <x:v>可获得且通过质量控制的面积、覆盖率、NDVI、变化量与人口暴露全部作为正式指标入库；原始统计尽量完整，指数筛选与权重另行版本化。</x:v>
      </x:c>
    </x:row>
    <x:row r="3" ht="34" customHeight="1">
      <x:c r="A3" s="119" t="str">
        <x:v>指标ID</x:v>
      </x:c>
      <x:c r="B3" s="119" t="str">
        <x:v>指标名称</x:v>
      </x:c>
      <x:c r="C3" s="119" t="str">
        <x:v>变量角色</x:v>
      </x:c>
      <x:c r="D3" s="119" t="str">
        <x:v>标准输出字段</x:v>
      </x:c>
      <x:c r="E3" s="119" t="str">
        <x:v>单位</x:v>
      </x:c>
      <x:c r="F3" s="119" t="str">
        <x:v>入库级别</x:v>
      </x:c>
      <x:c r="G3" s="119" t="str">
        <x:v>边界</x:v>
      </x:c>
      <x:c r="H3" s="119" t="str">
        <x:v>数据集</x:v>
      </x:c>
      <x:c r="I3" s="119" t="str">
        <x:v>版本</x:v>
      </x:c>
      <x:c r="J3" s="119" t="str">
        <x:v>年份</x:v>
      </x:c>
      <x:c r="K3" s="119" t="str">
        <x:v>原始分辨率</x:v>
      </x:c>
      <x:c r="L3" s="119" t="str">
        <x:v>分类/掩膜</x:v>
      </x:c>
      <x:c r="M3" s="119" t="str">
        <x:v>汇总公式</x:v>
      </x:c>
      <x:c r="N3" s="119" t="str">
        <x:v>质量控制</x:v>
      </x:c>
      <x:c r="O3" s="119" t="str">
        <x:v>GEE批次</x:v>
      </x:c>
      <x:c r="P3" s="119" t="str">
        <x:v>当前状态</x:v>
      </x:c>
    </x:row>
    <x:row r="4" ht="48" customHeight="1">
      <x:c r="A4" s="103" t="n">
        <x:v>58</x:v>
      </x:c>
      <x:c r="B4" s="103" t="str">
        <x:v>绿地面积</x:v>
      </x:c>
      <x:c r="C4" s="103" t="str">
        <x:v>总量</x:v>
      </x:c>
      <x:c r="D4" s="103" t="str">
        <x:v>GREEN_AREA_KM2_2021</x:v>
      </x:c>
      <x:c r="E4" s="103" t="str">
        <x:v>km²</x:v>
      </x:c>
      <x:c r="F4" s="103" t="str">
        <x:v>正式指标</x:v>
      </x:c>
      <x:c r="G4" s="103" t="str">
        <x:v>DUAL</x:v>
      </x:c>
      <x:c r="H4" s="103" t="str">
        <x:v>ESA/WorldCover/v200</x:v>
      </x:c>
      <x:c r="I4" s="103" t="str">
        <x:v>v200</x:v>
      </x:c>
      <x:c r="J4" s="103" t="str">
        <x:v>2021</x:v>
      </x:c>
      <x:c r="K4" s="103" t="str">
        <x:v>10 m</x:v>
      </x:c>
      <x:c r="L4" s="103" t="str">
        <x:v>Map∈{10,20,30}；排除农田</x:v>
      </x:c>
      <x:c r="M4" s="103" t="str">
        <x:v>Σ(符合类别像元面积)/10^6</x:v>
      </x:c>
      <x:c r="N4" s="103" t="str">
        <x:v>有效覆盖率；绿地面积≤陆地面积</x:v>
      </x:c>
      <x:c r="O4" s="103" t="str">
        <x:v>B04 R3</x:v>
      </x:c>
      <x:c r="P4" s="103" t="str">
        <x:v>RUNNING/READY</x:v>
      </x:c>
    </x:row>
    <x:row r="5" ht="48" customHeight="1">
      <x:c r="A5" s="103" t="n">
        <x:v>58</x:v>
      </x:c>
      <x:c r="B5" s="103" t="str">
        <x:v>绿地比例</x:v>
      </x:c>
      <x:c r="C5" s="103" t="str">
        <x:v>比例</x:v>
      </x:c>
      <x:c r="D5" s="103" t="str">
        <x:v>GREEN_SHARE_LAND_PCT_2021</x:v>
      </x:c>
      <x:c r="E5" s="103" t="str">
        <x:v>%</x:v>
      </x:c>
      <x:c r="F5" s="103" t="str">
        <x:v>正式指标</x:v>
      </x:c>
      <x:c r="G5" s="103" t="str">
        <x:v>DUAL</x:v>
      </x:c>
      <x:c r="H5" s="103" t="str">
        <x:v>ESA/WorldCover/v200 + JRC/GSW1_4</x:v>
      </x:c>
      <x:c r="I5" s="103" t="str">
        <x:v>v200 + v1.4</x:v>
      </x:c>
      <x:c r="J5" s="103" t="str">
        <x:v>2021</x:v>
      </x:c>
      <x:c r="K5" s="103" t="str">
        <x:v>10/30 m</x:v>
      </x:c>
      <x:c r="L5" s="103" t="str">
        <x:v>陆地面积=边界面积-永久水体面积</x:v>
      </x:c>
      <x:c r="M5" s="103" t="str">
        <x:v>GreenArea/LandArea×100</x:v>
      </x:c>
      <x:c r="N5" s="103" t="str">
        <x:v>范围0–100.5%</x:v>
      </x:c>
      <x:c r="O5" s="103" t="str">
        <x:v>B04 R3</x:v>
      </x:c>
      <x:c r="P5" s="103" t="str">
        <x:v>RUNNING/READY</x:v>
      </x:c>
    </x:row>
    <x:row r="6" ht="48" customHeight="1">
      <x:c r="A6" s="103" t="n">
        <x:v>58</x:v>
      </x:c>
      <x:c r="B6" s="103" t="str">
        <x:v>平均NDVI（基线）</x:v>
      </x:c>
      <x:c r="C6" s="103" t="str">
        <x:v>强度</x:v>
      </x:c>
      <x:c r="D6" s="103" t="str">
        <x:v>MEAN_NDVI_2020</x:v>
      </x:c>
      <x:c r="E6" s="103" t="str">
        <x:v>NDVI</x:v>
      </x:c>
      <x:c r="F6" s="103" t="str">
        <x:v>正式指标</x:v>
      </x:c>
      <x:c r="G6" s="103" t="str">
        <x:v>DUAL</x:v>
      </x:c>
      <x:c r="H6" s="103" t="str">
        <x:v>MODIS/061/MOD13Q1</x:v>
      </x:c>
      <x:c r="I6" s="103" t="str">
        <x:v>v061</x:v>
      </x:c>
      <x:c r="J6" s="103" t="str">
        <x:v>2020</x:v>
      </x:c>
      <x:c r="K6" s="103" t="str">
        <x:v>231.66 m</x:v>
      </x:c>
      <x:c r="L6" s="103" t="str">
        <x:v>SummaryQA≤1；排除永久水体</x:v>
      </x:c>
      <x:c r="M6" s="103" t="str">
        <x:v>Σ(NDVI×PixelArea)/Σ(ValidPixelArea)</x:v>
      </x:c>
      <x:c r="N6" s="103" t="str">
        <x:v>NDVI∈[-1,1]；有效覆盖率</x:v>
      </x:c>
      <x:c r="O6" s="103" t="str">
        <x:v>B05</x:v>
      </x:c>
      <x:c r="P6" s="103" t="str">
        <x:v>READY</x:v>
      </x:c>
    </x:row>
    <x:row r="7" ht="48" customHeight="1">
      <x:c r="A7" s="103" t="n">
        <x:v>58</x:v>
      </x:c>
      <x:c r="B7" s="103" t="str">
        <x:v>平均NDVI（最新）</x:v>
      </x:c>
      <x:c r="C7" s="103" t="str">
        <x:v>强度</x:v>
      </x:c>
      <x:c r="D7" s="103" t="str">
        <x:v>MEAN_NDVI_2025</x:v>
      </x:c>
      <x:c r="E7" s="103" t="str">
        <x:v>NDVI</x:v>
      </x:c>
      <x:c r="F7" s="103" t="str">
        <x:v>正式指标</x:v>
      </x:c>
      <x:c r="G7" s="103" t="str">
        <x:v>DUAL</x:v>
      </x:c>
      <x:c r="H7" s="103" t="str">
        <x:v>MODIS/061/MOD13Q1</x:v>
      </x:c>
      <x:c r="I7" s="103" t="str">
        <x:v>v061</x:v>
      </x:c>
      <x:c r="J7" s="103" t="str">
        <x:v>2025</x:v>
      </x:c>
      <x:c r="K7" s="103" t="str">
        <x:v>231.66 m</x:v>
      </x:c>
      <x:c r="L7" s="103" t="str">
        <x:v>SummaryQA≤1；排除永久水体</x:v>
      </x:c>
      <x:c r="M7" s="103" t="str">
        <x:v>Σ(NDVI×PixelArea)/Σ(ValidPixelArea)</x:v>
      </x:c>
      <x:c r="N7" s="103" t="str">
        <x:v>NDVI∈[-1,1]；有效覆盖率</x:v>
      </x:c>
      <x:c r="O7" s="103" t="str">
        <x:v>B05</x:v>
      </x:c>
      <x:c r="P7" s="103" t="str">
        <x:v>READY</x:v>
      </x:c>
    </x:row>
    <x:row r="8" ht="48" customHeight="1">
      <x:c r="A8" s="103" t="n">
        <x:v>58</x:v>
      </x:c>
      <x:c r="B8" s="103" t="str">
        <x:v>NDVI变化量</x:v>
      </x:c>
      <x:c r="C8" s="103" t="str">
        <x:v>变化</x:v>
      </x:c>
      <x:c r="D8" s="103" t="str">
        <x:v>NDVI_CHANGE_2020_2025</x:v>
      </x:c>
      <x:c r="E8" s="103" t="str">
        <x:v>NDVI差值</x:v>
      </x:c>
      <x:c r="F8" s="103" t="str">
        <x:v>正式指标</x:v>
      </x:c>
      <x:c r="G8" s="103" t="str">
        <x:v>DUAL</x:v>
      </x:c>
      <x:c r="H8" s="103" t="str">
        <x:v>MODIS/061/MOD13Q1</x:v>
      </x:c>
      <x:c r="I8" s="103" t="str">
        <x:v>v061</x:v>
      </x:c>
      <x:c r="J8" s="103" t="str">
        <x:v>2020–2025</x:v>
      </x:c>
      <x:c r="K8" s="103" t="str">
        <x:v>231.66 m</x:v>
      </x:c>
      <x:c r="L8" s="103" t="str">
        <x:v>两期相同质量掩膜和固定边界</x:v>
      </x:c>
      <x:c r="M8" s="103" t="str">
        <x:v>MeanNDVI_2025-MeanNDVI_2020</x:v>
      </x:c>
      <x:c r="N8" s="103" t="str">
        <x:v>范围[-2,2]；记录起止年</x:v>
      </x:c>
      <x:c r="O8" s="103" t="str">
        <x:v>B05</x:v>
      </x:c>
      <x:c r="P8" s="103" t="str">
        <x:v>READY</x:v>
      </x:c>
    </x:row>
    <x:row r="9" ht="48" customHeight="1">
      <x:c r="A9" s="103" t="n">
        <x:v>59</x:v>
      </x:c>
      <x:c r="B9" s="103" t="str">
        <x:v>人口加权NDVI暴露</x:v>
      </x:c>
      <x:c r="C9" s="103" t="str">
        <x:v>暴露</x:v>
      </x:c>
      <x:c r="D9" s="103" t="str">
        <x:v>POP_WEIGHTED_NDVI_2020</x:v>
      </x:c>
      <x:c r="E9" s="103" t="str">
        <x:v>NDVI</x:v>
      </x:c>
      <x:c r="F9" s="103" t="str">
        <x:v>正式指标</x:v>
      </x:c>
      <x:c r="G9" s="103" t="str">
        <x:v>DUAL</x:v>
      </x:c>
      <x:c r="H9" s="103" t="str">
        <x:v>MODIS/061/MOD13Q1 + JRC/GHSL/P2023A/GHS_POP/2020</x:v>
      </x:c>
      <x:c r="I9" s="103" t="str">
        <x:v>v061 + P2023A</x:v>
      </x:c>
      <x:c r="J9" s="103" t="str">
        <x:v>2020</x:v>
      </x:c>
      <x:c r="K9" s="103" t="str">
        <x:v>250/100 m</x:v>
      </x:c>
      <x:c r="L9" s="103" t="str">
        <x:v>NDVI QA通过；人口与NDVI同年</x:v>
      </x:c>
      <x:c r="M9" s="103" t="str">
        <x:v>Σ(NDVI_i×Population_i)/Σ(Population_i)</x:v>
      </x:c>
      <x:c r="N9" s="103" t="str">
        <x:v>人口权重&gt;0；NDVI∈[-1,1]</x:v>
      </x:c>
      <x:c r="O9" s="103" t="str">
        <x:v>B05</x:v>
      </x:c>
      <x:c r="P9" s="103" t="str">
        <x:v>READY</x:v>
      </x:c>
    </x:row>
    <x:row r="10" ht="48" customHeight="1">
      <x:c r="A10" s="103" t="n">
        <x:v>60</x:v>
      </x:c>
      <x:c r="B10" s="103" t="str">
        <x:v>树木覆盖面积</x:v>
      </x:c>
      <x:c r="C10" s="103" t="str">
        <x:v>总量</x:v>
      </x:c>
      <x:c r="D10" s="103" t="str">
        <x:v>TREE_AREA_KM2_2021</x:v>
      </x:c>
      <x:c r="E10" s="103" t="str">
        <x:v>km²</x:v>
      </x:c>
      <x:c r="F10" s="103" t="str">
        <x:v>正式指标</x:v>
      </x:c>
      <x:c r="G10" s="103" t="str">
        <x:v>DUAL</x:v>
      </x:c>
      <x:c r="H10" s="103" t="str">
        <x:v>ESA/WorldCover/v200</x:v>
      </x:c>
      <x:c r="I10" s="103" t="str">
        <x:v>v200</x:v>
      </x:c>
      <x:c r="J10" s="103" t="str">
        <x:v>2021</x:v>
      </x:c>
      <x:c r="K10" s="103" t="str">
        <x:v>10 m</x:v>
      </x:c>
      <x:c r="L10" s="103" t="str">
        <x:v>Map=10</x:v>
      </x:c>
      <x:c r="M10" s="103" t="str">
        <x:v>Σ(TreePixelArea)/10^6</x:v>
      </x:c>
      <x:c r="N10" s="103" t="str">
        <x:v>面积≥0</x:v>
      </x:c>
      <x:c r="O10" s="103" t="str">
        <x:v>B04 R3</x:v>
      </x:c>
      <x:c r="P10" s="103" t="str">
        <x:v>RUNNING/READY</x:v>
      </x:c>
    </x:row>
    <x:row r="11" ht="48" customHeight="1">
      <x:c r="A11" s="103" t="n">
        <x:v>60</x:v>
      </x:c>
      <x:c r="B11" s="103" t="str">
        <x:v>树木覆盖率</x:v>
      </x:c>
      <x:c r="C11" s="103" t="str">
        <x:v>比例</x:v>
      </x:c>
      <x:c r="D11" s="103" t="str">
        <x:v>TREE_COVER_PCT_LAND_2021</x:v>
      </x:c>
      <x:c r="E11" s="103" t="str">
        <x:v>%</x:v>
      </x:c>
      <x:c r="F11" s="103" t="str">
        <x:v>正式指标</x:v>
      </x:c>
      <x:c r="G11" s="103" t="str">
        <x:v>DUAL</x:v>
      </x:c>
      <x:c r="H11" s="103" t="str">
        <x:v>ESA/WorldCover/v200</x:v>
      </x:c>
      <x:c r="I11" s="103" t="str">
        <x:v>v200</x:v>
      </x:c>
      <x:c r="J11" s="103" t="str">
        <x:v>2021</x:v>
      </x:c>
      <x:c r="K11" s="103" t="str">
        <x:v>10 m</x:v>
      </x:c>
      <x:c r="L11" s="103" t="str">
        <x:v>Map=10</x:v>
      </x:c>
      <x:c r="M11" s="103" t="str">
        <x:v>TreeArea/LandArea×100</x:v>
      </x:c>
      <x:c r="N11" s="103" t="str">
        <x:v>范围0–100.5%</x:v>
      </x:c>
      <x:c r="O11" s="103" t="str">
        <x:v>B04 R3</x:v>
      </x:c>
      <x:c r="P11" s="103" t="str">
        <x:v>RUNNING/READY</x:v>
      </x:c>
    </x:row>
    <x:row r="12" ht="48" customHeight="1">
      <x:c r="A12" s="103" t="n">
        <x:v>61</x:v>
      </x:c>
      <x:c r="B12" s="103" t="str">
        <x:v>灌木覆盖面积</x:v>
      </x:c>
      <x:c r="C12" s="103" t="str">
        <x:v>总量</x:v>
      </x:c>
      <x:c r="D12" s="103" t="str">
        <x:v>SHRUB_AREA_KM2_2021</x:v>
      </x:c>
      <x:c r="E12" s="103" t="str">
        <x:v>km²</x:v>
      </x:c>
      <x:c r="F12" s="103" t="str">
        <x:v>正式指标</x:v>
      </x:c>
      <x:c r="G12" s="103" t="str">
        <x:v>DUAL</x:v>
      </x:c>
      <x:c r="H12" s="103" t="str">
        <x:v>ESA/WorldCover/v200</x:v>
      </x:c>
      <x:c r="I12" s="103" t="str">
        <x:v>v200</x:v>
      </x:c>
      <x:c r="J12" s="103" t="str">
        <x:v>2021</x:v>
      </x:c>
      <x:c r="K12" s="103" t="str">
        <x:v>10 m</x:v>
      </x:c>
      <x:c r="L12" s="103" t="str">
        <x:v>Map=20</x:v>
      </x:c>
      <x:c r="M12" s="103" t="str">
        <x:v>Σ(ShrubPixelArea)/10^6</x:v>
      </x:c>
      <x:c r="N12" s="103" t="str">
        <x:v>面积≥0</x:v>
      </x:c>
      <x:c r="O12" s="103" t="str">
        <x:v>B04 R3</x:v>
      </x:c>
      <x:c r="P12" s="103" t="str">
        <x:v>RUNNING/READY</x:v>
      </x:c>
    </x:row>
    <x:row r="13" ht="48" customHeight="1">
      <x:c r="A13" s="103" t="n">
        <x:v>61</x:v>
      </x:c>
      <x:c r="B13" s="103" t="str">
        <x:v>灌木覆盖率</x:v>
      </x:c>
      <x:c r="C13" s="103" t="str">
        <x:v>比例</x:v>
      </x:c>
      <x:c r="D13" s="103" t="str">
        <x:v>SHRUB_COVER_PCT_LAND_2021</x:v>
      </x:c>
      <x:c r="E13" s="103" t="str">
        <x:v>%</x:v>
      </x:c>
      <x:c r="F13" s="103" t="str">
        <x:v>正式指标</x:v>
      </x:c>
      <x:c r="G13" s="103" t="str">
        <x:v>DUAL</x:v>
      </x:c>
      <x:c r="H13" s="103" t="str">
        <x:v>ESA/WorldCover/v200</x:v>
      </x:c>
      <x:c r="I13" s="103" t="str">
        <x:v>v200</x:v>
      </x:c>
      <x:c r="J13" s="103" t="str">
        <x:v>2021</x:v>
      </x:c>
      <x:c r="K13" s="103" t="str">
        <x:v>10 m</x:v>
      </x:c>
      <x:c r="L13" s="103" t="str">
        <x:v>Map=20</x:v>
      </x:c>
      <x:c r="M13" s="103" t="str">
        <x:v>ShrubArea/LandArea×100</x:v>
      </x:c>
      <x:c r="N13" s="103" t="str">
        <x:v>范围0–100.5%</x:v>
      </x:c>
      <x:c r="O13" s="103" t="str">
        <x:v>B04 R3</x:v>
      </x:c>
      <x:c r="P13" s="103" t="str">
        <x:v>RUNNING/READY</x:v>
      </x:c>
    </x:row>
    <x:row r="14" ht="48" customHeight="1">
      <x:c r="A14" s="103" t="n">
        <x:v>62</x:v>
      </x:c>
      <x:c r="B14" s="103" t="str">
        <x:v>草地覆盖面积</x:v>
      </x:c>
      <x:c r="C14" s="103" t="str">
        <x:v>总量</x:v>
      </x:c>
      <x:c r="D14" s="103" t="str">
        <x:v>GRASS_AREA_KM2_2021</x:v>
      </x:c>
      <x:c r="E14" s="103" t="str">
        <x:v>km²</x:v>
      </x:c>
      <x:c r="F14" s="103" t="str">
        <x:v>正式指标</x:v>
      </x:c>
      <x:c r="G14" s="103" t="str">
        <x:v>DUAL</x:v>
      </x:c>
      <x:c r="H14" s="103" t="str">
        <x:v>ESA/WorldCover/v200</x:v>
      </x:c>
      <x:c r="I14" s="103" t="str">
        <x:v>v200</x:v>
      </x:c>
      <x:c r="J14" s="103" t="str">
        <x:v>2021</x:v>
      </x:c>
      <x:c r="K14" s="103" t="str">
        <x:v>10 m</x:v>
      </x:c>
      <x:c r="L14" s="103" t="str">
        <x:v>Map=30</x:v>
      </x:c>
      <x:c r="M14" s="103" t="str">
        <x:v>Σ(GrassPixelArea)/10^6</x:v>
      </x:c>
      <x:c r="N14" s="103" t="str">
        <x:v>面积≥0</x:v>
      </x:c>
      <x:c r="O14" s="103" t="str">
        <x:v>B04 R3</x:v>
      </x:c>
      <x:c r="P14" s="103" t="str">
        <x:v>RUNNING/READY</x:v>
      </x:c>
    </x:row>
    <x:row r="15" ht="48" customHeight="1">
      <x:c r="A15" s="103" t="n">
        <x:v>62</x:v>
      </x:c>
      <x:c r="B15" s="103" t="str">
        <x:v>草地覆盖率</x:v>
      </x:c>
      <x:c r="C15" s="103" t="str">
        <x:v>比例</x:v>
      </x:c>
      <x:c r="D15" s="103" t="str">
        <x:v>GRASS_COVER_PCT_LAND_2021</x:v>
      </x:c>
      <x:c r="E15" s="103" t="str">
        <x:v>%</x:v>
      </x:c>
      <x:c r="F15" s="103" t="str">
        <x:v>正式指标</x:v>
      </x:c>
      <x:c r="G15" s="103" t="str">
        <x:v>DUAL</x:v>
      </x:c>
      <x:c r="H15" s="103" t="str">
        <x:v>ESA/WorldCover/v200</x:v>
      </x:c>
      <x:c r="I15" s="103" t="str">
        <x:v>v200</x:v>
      </x:c>
      <x:c r="J15" s="103" t="str">
        <x:v>2021</x:v>
      </x:c>
      <x:c r="K15" s="103" t="str">
        <x:v>10 m</x:v>
      </x:c>
      <x:c r="L15" s="103" t="str">
        <x:v>Map=30</x:v>
      </x:c>
      <x:c r="M15" s="103" t="str">
        <x:v>GrassArea/LandArea×100</x:v>
      </x:c>
      <x:c r="N15" s="103" t="str">
        <x:v>范围0–100.5%</x:v>
      </x:c>
      <x:c r="O15" s="103" t="str">
        <x:v>B04 R3</x:v>
      </x:c>
      <x:c r="P15" s="103" t="str">
        <x:v>RUNNING/READY</x:v>
      </x:c>
    </x:row>
    <x:row r="16" ht="48" customHeight="1">
      <x:c r="A16" s="103" t="n">
        <x:v>63</x:v>
      </x:c>
      <x:c r="B16" s="103" t="str">
        <x:v>永久水体面积</x:v>
      </x:c>
      <x:c r="C16" s="103" t="str">
        <x:v>总量</x:v>
      </x:c>
      <x:c r="D16" s="103" t="str">
        <x:v>BLUE_SPACE_PERMANENT_WATER_KM2_2021</x:v>
      </x:c>
      <x:c r="E16" s="103" t="str">
        <x:v>km²</x:v>
      </x:c>
      <x:c r="F16" s="103" t="str">
        <x:v>正式指标</x:v>
      </x:c>
      <x:c r="G16" s="103" t="str">
        <x:v>DUAL</x:v>
      </x:c>
      <x:c r="H16" s="103" t="str">
        <x:v>JRC/GSW1_4/YearlyHistory</x:v>
      </x:c>
      <x:c r="I16" s="103" t="str">
        <x:v>v1.4</x:v>
      </x:c>
      <x:c r="J16" s="103" t="str">
        <x:v>2021</x:v>
      </x:c>
      <x:c r="K16" s="103" t="str">
        <x:v>30 m</x:v>
      </x:c>
      <x:c r="L16" s="103" t="str">
        <x:v>waterClass=3</x:v>
      </x:c>
      <x:c r="M16" s="103" t="str">
        <x:v>Σ(PermanentWaterPixelArea)/10^6</x:v>
      </x:c>
      <x:c r="N16" s="103" t="str">
        <x:v>面积≥0且≤边界面积</x:v>
      </x:c>
      <x:c r="O16" s="103" t="str">
        <x:v>B04 R3</x:v>
      </x:c>
      <x:c r="P16" s="103" t="str">
        <x:v>RUNNING/READY</x:v>
      </x:c>
    </x:row>
    <x:row r="17" ht="48" customHeight="1">
      <x:c r="A17" s="103" t="n">
        <x:v>63</x:v>
      </x:c>
      <x:c r="B17" s="103" t="str">
        <x:v>永久水体比例</x:v>
      </x:c>
      <x:c r="C17" s="103" t="str">
        <x:v>比例</x:v>
      </x:c>
      <x:c r="D17" s="103" t="str">
        <x:v>PERMANENT_WATER_SHARE_PCT_2021</x:v>
      </x:c>
      <x:c r="E17" s="103" t="str">
        <x:v>%</x:v>
      </x:c>
      <x:c r="F17" s="103" t="str">
        <x:v>正式指标</x:v>
      </x:c>
      <x:c r="G17" s="103" t="str">
        <x:v>DUAL</x:v>
      </x:c>
      <x:c r="H17" s="103" t="str">
        <x:v>JRC/GSW1_4/YearlyHistory</x:v>
      </x:c>
      <x:c r="I17" s="103" t="str">
        <x:v>v1.4</x:v>
      </x:c>
      <x:c r="J17" s="103" t="str">
        <x:v>2021</x:v>
      </x:c>
      <x:c r="K17" s="103" t="str">
        <x:v>30 m</x:v>
      </x:c>
      <x:c r="L17" s="103" t="str">
        <x:v>waterClass=3</x:v>
      </x:c>
      <x:c r="M17" s="103" t="str">
        <x:v>PermanentWaterArea/BoundaryArea×100</x:v>
      </x:c>
      <x:c r="N17" s="103" t="str">
        <x:v>范围0–100.5%</x:v>
      </x:c>
      <x:c r="O17" s="103" t="str">
        <x:v>B04 R3</x:v>
      </x:c>
      <x:c r="P17" s="103" t="str">
        <x:v>RUNNING/READY</x:v>
      </x:c>
    </x:row>
  </x:sheetData>
  <x:mergeCells>
    <x:mergeCell ref="A1:P1"/>
    <x:mergeCell ref="A2:P2"/>
  </x:mergeCells>
  <x:conditionalFormatting sqref="A4:P17">
    <x:cfRule type="expression" dxfId="13" priority="1">
      <x:formula>MOD(ROW(),2)=0</x:formula>
    </x:cfRule>
  </x:conditionalFormatting>
  <x:conditionalFormatting sqref="F4:F17">
    <x:cfRule type="containsText" dxfId="14" priority="2" operator="containsText" text="正式指标"/>
  </x:conditionalFormatting>
  <x:pageMargins left="0.7" right="0.7" top="0.75" bottom="0.75" header="0.3" footer="0.3"/>
  <x:tableParts count="1">
    <x:tablePart xmlns:r="http://schemas.openxmlformats.org/officeDocument/2006/relationships" r:id="R3f18d93b5f504a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30" hidden="0" customWidth="1"/>
    <x:col min="4" max="4" width="52" hidden="0" customWidth="1"/>
    <x:col min="5" max="5" width="23" hidden="0" customWidth="1"/>
    <x:col min="6" max="6" width="23" hidden="0" customWidth="1"/>
    <x:col min="7" max="7" width="42" hidden="0" customWidth="1"/>
    <x:col min="8" max="8" width="42" hidden="0" customWidth="1"/>
  </x:cols>
  <x:sheetData>
    <x:row r="1" ht="40" customHeight="1">
      <x:c r="A1" s="114" t="str">
        <x:v>GEE 生产任务状态（指标库 v2.3）</x:v>
      </x:c>
      <x:c r="B1" s="114" t="str">
        <x:v>GEE 生产任务状态（指标库 v2.3）</x:v>
      </x:c>
      <x:c r="C1" s="114" t="str">
        <x:v>GEE 生产任务状态（指标库 v2.3）</x:v>
      </x:c>
      <x:c r="D1" s="114" t="str">
        <x:v>GEE 生产任务状态（指标库 v2.3）</x:v>
      </x:c>
      <x:c r="E1" s="114" t="str">
        <x:v>GEE 生产任务状态（指标库 v2.3）</x:v>
      </x:c>
      <x:c r="F1" s="114" t="str">
        <x:v>GEE 生产任务状态（指标库 v2.3）</x:v>
      </x:c>
      <x:c r="G1" s="114" t="str">
        <x:v>GEE 生产任务状态（指标库 v2.3）</x:v>
      </x:c>
      <x:c r="H1" s="114" t="str">
        <x:v>GEE 生产任务状态（指标库 v2.3）</x:v>
      </x:c>
    </x:row>
    <x:row r="2" ht="32" customHeight="1">
      <x:c r="A2" s="123" t="str">
        <x:v>批次</x:v>
      </x:c>
      <x:c r="B2" s="123" t="str">
        <x:v>内容</x:v>
      </x:c>
      <x:c r="C2" s="123" t="str">
        <x:v>Python任务ID</x:v>
      </x:c>
      <x:c r="D2" s="123" t="str">
        <x:v>输出资产</x:v>
      </x:c>
      <x:c r="E2" s="123" t="str">
        <x:v>边界版本</x:v>
      </x:c>
      <x:c r="F2" s="123" t="str">
        <x:v>提交状态</x:v>
      </x:c>
      <x:c r="G2" s="123" t="str">
        <x:v>验收要求</x:v>
      </x:c>
      <x:c r="H2" s="123" t="str">
        <x:v>说明</x:v>
      </x:c>
    </x:row>
    <x:row r="3" ht="44" customHeight="1">
      <x:c r="A3" s="103" t="str">
        <x:v>B01</x:v>
      </x:c>
      <x:c r="B3" s="103" t="str">
        <x:v>建成环境与夜光</x:v>
      </x:c>
      <x:c r="C3" s="103" t="str">
        <x:v>7FTZPO7NN2XI3LT73NN4HNSS</x:v>
      </x:c>
      <x:c r="D3" s="103" t="str">
        <x:v>projects/ee-yufeihuang478/assets/global_city_index/results/GCI_GEE_B01_PHY_V101</x:v>
      </x:c>
      <x:c r="E3" s="103" t="str">
        <x:v>GC100-20260827-V1.0.1</x:v>
      </x:c>
      <x:c r="F3" s="103" t="str">
        <x:v>COMPLETED</x:v>
      </x:c>
      <x:c r="G3" s="103" t="str">
        <x:v>2,311行；CITY_ID唯一；字段非空；范围与覆盖率检查</x:v>
      </x:c>
      <x:c r="H3" s="103" t="str">
        <x:v>任务完成后才写入终态脚本目录</x:v>
      </x:c>
    </x:row>
    <x:row r="4" ht="44" customHeight="1">
      <x:c r="A4" s="103" t="str">
        <x:v>B02</x:v>
      </x:c>
      <x:c r="B4" s="103" t="str">
        <x:v>人口规模</x:v>
      </x:c>
      <x:c r="C4" s="103" t="str">
        <x:v>K26PLEW36H3KPLGLZTIQZKA4</x:v>
      </x:c>
      <x:c r="D4" s="103" t="str">
        <x:v>projects/ee-yufeihuang478/assets/global_city_index/results/GCI_GEE_B02_POP_PHY_V101_R2</x:v>
      </x:c>
      <x:c r="E4" s="103" t="str">
        <x:v>GC100-20260827-V1.0.1</x:v>
      </x:c>
      <x:c r="F4" s="103" t="str">
        <x:v>RUNNING</x:v>
      </x:c>
      <x:c r="G4" s="103" t="str">
        <x:v>2,311行；CITY_ID唯一；字段非空；范围与覆盖率检查</x:v>
      </x:c>
      <x:c r="H4" s="103" t="str">
        <x:v>任务完成后才写入终态脚本目录</x:v>
      </x:c>
    </x:row>
    <x:row r="5" ht="44" customHeight="1">
      <x:c r="A5" s="103" t="str">
        <x:v>B03</x:v>
      </x:c>
      <x:c r="B5" s="103" t="str">
        <x:v>气候与地形</x:v>
      </x:c>
      <x:c r="C5" s="103" t="str">
        <x:v>6RDSWXOYMHXW6MU3YNSGY5NS</x:v>
      </x:c>
      <x:c r="D5" s="103" t="str">
        <x:v>projects/ee-yufeihuang478/assets/global_city_index/results/GCI_GEE_B03_CLIMETOPO_PHY_V101_R2</x:v>
      </x:c>
      <x:c r="E5" s="103" t="str">
        <x:v>GC100-20260827-V1.0.1</x:v>
      </x:c>
      <x:c r="F5" s="103" t="str">
        <x:v>RUNNING</x:v>
      </x:c>
      <x:c r="G5" s="103" t="str">
        <x:v>2,311行；CITY_ID唯一；字段非空；范围与覆盖率检查</x:v>
      </x:c>
      <x:c r="H5" s="103" t="str">
        <x:v>任务完成后才写入终态脚本目录</x:v>
      </x:c>
    </x:row>
    <x:row r="6" ht="44" customHeight="1">
      <x:c r="A6" s="103" t="str">
        <x:v>B04 R3</x:v>
      </x:c>
      <x:c r="B6" s="103" t="str">
        <x:v>蓝绿空间面积</x:v>
      </x:c>
      <x:c r="C6" s="103" t="str">
        <x:v>WCHMA6JIXLWZ4EXS52PHNJDF</x:v>
      </x:c>
      <x:c r="D6" s="103" t="str">
        <x:v>projects/ee-yufeihuang478/assets/global_city_index/results/GCI_GEE_B04_GREENBLUE_PHY_V101_R3</x:v>
      </x:c>
      <x:c r="E6" s="103" t="str">
        <x:v>GC100-20260827-V1.0.1</x:v>
      </x:c>
      <x:c r="F6" s="103" t="str">
        <x:v>RUNNING</x:v>
      </x:c>
      <x:c r="G6" s="103" t="str">
        <x:v>2,311行；CITY_ID唯一；字段非空；范围与覆盖率检查</x:v>
      </x:c>
      <x:c r="H6" s="103" t="str">
        <x:v>任务完成后才写入终态脚本目录</x:v>
      </x:c>
    </x:row>
    <x:row r="7" ht="44" customHeight="1">
      <x:c r="A7" s="103" t="str">
        <x:v>B05</x:v>
      </x:c>
      <x:c r="B7" s="103" t="str">
        <x:v>NDVI绿度与暴露</x:v>
      </x:c>
      <x:c r="C7" s="103" t="str">
        <x:v>PBSOVOAQB4KLSEJWIRR2HWZK</x:v>
      </x:c>
      <x:c r="D7" s="103" t="str">
        <x:v>projects/ee-yufeihuang478/assets/global_city_index/results/GCI_GEE_B05_NDVI_PHY_V101</x:v>
      </x:c>
      <x:c r="E7" s="103" t="str">
        <x:v>GC100-20260827-V1.0.1</x:v>
      </x:c>
      <x:c r="F7" s="103" t="str">
        <x:v>READY</x:v>
      </x:c>
      <x:c r="G7" s="103" t="str">
        <x:v>2,311行；CITY_ID唯一；字段非空；范围与覆盖率检查</x:v>
      </x:c>
      <x:c r="H7" s="103" t="str">
        <x:v>任务完成后才写入终态脚本目录</x:v>
      </x:c>
    </x:row>
  </x:sheetData>
  <x:mergeCells>
    <x:mergeCell ref="A1:H1"/>
  </x:mergeCells>
  <x:conditionalFormatting sqref="F3:F7">
    <x:cfRule type="containsText" dxfId="15" priority="1" operator="containsText" text="RUNNING"/>
    <x:cfRule type="containsText" dxfId="16" priority="2" operator="containsText" text="READY"/>
    <x:cfRule type="containsText" dxfId="17" priority="3" operator="containsText" text="COMPLETED"/>
  </x:conditionalFormatting>
  <x:pageMargins left="0.7" right="0.7" top="0.75" bottom="0.75" header="0.3" footer="0.3"/>
  <x:tableParts count="1">
    <x:tablePart xmlns:r="http://schemas.openxmlformats.org/officeDocument/2006/relationships" r:id="Rde55ee79e5434432"/>
  </x:tableParts>
</x:worksheet>
</file>